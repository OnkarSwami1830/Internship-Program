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9655feb3dbea5641/Desktop/"/>
    </mc:Choice>
  </mc:AlternateContent>
  <xr:revisionPtr revIDLastSave="608" documentId="8_{421EFA92-8ED3-47DC-9D2A-A1BEAD190D5B}" xr6:coauthVersionLast="47" xr6:coauthVersionMax="47" xr10:uidLastSave="{044FD2A8-C18A-48FE-B97C-3B9CC56EB1F0}"/>
  <bookViews>
    <workbookView xWindow="-108" yWindow="-108" windowWidth="23256" windowHeight="12456" activeTab="5" xr2:uid="{00000000-000D-0000-FFFF-FFFF00000000}"/>
  </bookViews>
  <sheets>
    <sheet name="Sheet" sheetId="1" r:id="rId1"/>
    <sheet name="Detail1" sheetId="6" r:id="rId2"/>
    <sheet name="Sheet2" sheetId="3" r:id="rId3"/>
    <sheet name="1 july" sheetId="4" r:id="rId4"/>
    <sheet name="Sheet3" sheetId="5" r:id="rId5"/>
    <sheet name="Dashboard" sheetId="7" r:id="rId6"/>
  </sheets>
  <definedNames>
    <definedName name="Slicer_category">#N/A</definedName>
    <definedName name="Slicer_Months__dat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0" i="5" l="1"/>
  <c r="L19" i="5"/>
  <c r="L18" i="5"/>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K3" i="4"/>
  <c r="K13" i="4"/>
  <c r="K17" i="4"/>
  <c r="K25" i="4"/>
  <c r="K29" i="4"/>
  <c r="K37" i="4"/>
  <c r="K41" i="4"/>
  <c r="K49" i="4"/>
  <c r="J3" i="4"/>
  <c r="J4" i="4"/>
  <c r="K4" i="4" s="1"/>
  <c r="J5" i="4"/>
  <c r="K5" i="4" s="1"/>
  <c r="J6" i="4"/>
  <c r="K6" i="4" s="1"/>
  <c r="J7" i="4"/>
  <c r="K7" i="4" s="1"/>
  <c r="J8" i="4"/>
  <c r="K8" i="4" s="1"/>
  <c r="J9" i="4"/>
  <c r="K9" i="4" s="1"/>
  <c r="J10" i="4"/>
  <c r="K10" i="4" s="1"/>
  <c r="J11" i="4"/>
  <c r="K11" i="4" s="1"/>
  <c r="J12" i="4"/>
  <c r="K12" i="4" s="1"/>
  <c r="J13" i="4"/>
  <c r="J14" i="4"/>
  <c r="K14" i="4" s="1"/>
  <c r="J15" i="4"/>
  <c r="K15" i="4" s="1"/>
  <c r="J16" i="4"/>
  <c r="K16" i="4" s="1"/>
  <c r="J17" i="4"/>
  <c r="J18" i="4"/>
  <c r="K18" i="4" s="1"/>
  <c r="J19" i="4"/>
  <c r="K19" i="4" s="1"/>
  <c r="J20" i="4"/>
  <c r="K20" i="4" s="1"/>
  <c r="J21" i="4"/>
  <c r="K21" i="4" s="1"/>
  <c r="J22" i="4"/>
  <c r="K22" i="4" s="1"/>
  <c r="J23" i="4"/>
  <c r="K23" i="4" s="1"/>
  <c r="J24" i="4"/>
  <c r="K24" i="4" s="1"/>
  <c r="J25" i="4"/>
  <c r="J26" i="4"/>
  <c r="K26" i="4" s="1"/>
  <c r="J27" i="4"/>
  <c r="K27" i="4" s="1"/>
  <c r="J28" i="4"/>
  <c r="K28" i="4" s="1"/>
  <c r="J29" i="4"/>
  <c r="J30" i="4"/>
  <c r="K30" i="4" s="1"/>
  <c r="J31" i="4"/>
  <c r="K31" i="4" s="1"/>
  <c r="J32" i="4"/>
  <c r="K32" i="4" s="1"/>
  <c r="J33" i="4"/>
  <c r="K33" i="4" s="1"/>
  <c r="J34" i="4"/>
  <c r="K34" i="4" s="1"/>
  <c r="J35" i="4"/>
  <c r="K35" i="4" s="1"/>
  <c r="J36" i="4"/>
  <c r="K36" i="4" s="1"/>
  <c r="J37" i="4"/>
  <c r="J38" i="4"/>
  <c r="K38" i="4" s="1"/>
  <c r="J39" i="4"/>
  <c r="K39" i="4" s="1"/>
  <c r="J40" i="4"/>
  <c r="K40" i="4" s="1"/>
  <c r="J41" i="4"/>
  <c r="J42" i="4"/>
  <c r="K42" i="4" s="1"/>
  <c r="J43" i="4"/>
  <c r="K43" i="4" s="1"/>
  <c r="J44" i="4"/>
  <c r="K44" i="4" s="1"/>
  <c r="J45" i="4"/>
  <c r="K45" i="4" s="1"/>
  <c r="J46" i="4"/>
  <c r="K46" i="4" s="1"/>
  <c r="J47" i="4"/>
  <c r="K47" i="4" s="1"/>
  <c r="J48" i="4"/>
  <c r="K48" i="4" s="1"/>
  <c r="J49" i="4"/>
  <c r="J50" i="4"/>
  <c r="K50" i="4" s="1"/>
  <c r="J51" i="4"/>
  <c r="K51" i="4" s="1"/>
  <c r="J2" i="4"/>
  <c r="K2" i="4"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2" i="1"/>
  <c r="L17" i="5"/>
</calcChain>
</file>

<file path=xl/sharedStrings.xml><?xml version="1.0" encoding="utf-8"?>
<sst xmlns="http://schemas.openxmlformats.org/spreadsheetml/2006/main" count="698" uniqueCount="173">
  <si>
    <t>date</t>
  </si>
  <si>
    <t>product_id</t>
  </si>
  <si>
    <t>product_name</t>
  </si>
  <si>
    <t>category</t>
  </si>
  <si>
    <t>city</t>
  </si>
  <si>
    <t>state</t>
  </si>
  <si>
    <t>quantity</t>
  </si>
  <si>
    <t>price_per_unit</t>
  </si>
  <si>
    <t>discount_in_percentage</t>
  </si>
  <si>
    <t>P001</t>
  </si>
  <si>
    <t>Laptop</t>
  </si>
  <si>
    <t>Electronics</t>
  </si>
  <si>
    <t>Mumbai</t>
  </si>
  <si>
    <t>Maharashtra</t>
  </si>
  <si>
    <t>P002</t>
  </si>
  <si>
    <t>Smartphone</t>
  </si>
  <si>
    <t>Pune</t>
  </si>
  <si>
    <t>P003</t>
  </si>
  <si>
    <t>Office Chair</t>
  </si>
  <si>
    <t>Furniture</t>
  </si>
  <si>
    <t>Nagpur</t>
  </si>
  <si>
    <t>P004</t>
  </si>
  <si>
    <t>Dining Table</t>
  </si>
  <si>
    <t>Nashik</t>
  </si>
  <si>
    <t>P005</t>
  </si>
  <si>
    <t>Printer</t>
  </si>
  <si>
    <t>Aurangabad</t>
  </si>
  <si>
    <t>P006</t>
  </si>
  <si>
    <t>Mixer</t>
  </si>
  <si>
    <t>Home Appliances</t>
  </si>
  <si>
    <t>Kolhapur</t>
  </si>
  <si>
    <t>P007</t>
  </si>
  <si>
    <t>Air Conditioner</t>
  </si>
  <si>
    <t>Solapur</t>
  </si>
  <si>
    <t>P008</t>
  </si>
  <si>
    <t>Microwave</t>
  </si>
  <si>
    <t>Thane</t>
  </si>
  <si>
    <t>P009</t>
  </si>
  <si>
    <t>Shoes</t>
  </si>
  <si>
    <t>Fashion</t>
  </si>
  <si>
    <t>P010</t>
  </si>
  <si>
    <t>Backpack</t>
  </si>
  <si>
    <t>P011</t>
  </si>
  <si>
    <t>Ahmedabad</t>
  </si>
  <si>
    <t>Gujarat</t>
  </si>
  <si>
    <t>P012</t>
  </si>
  <si>
    <t>Tablet</t>
  </si>
  <si>
    <t>Surat</t>
  </si>
  <si>
    <t>P013</t>
  </si>
  <si>
    <t>Sofa</t>
  </si>
  <si>
    <t>Vadodara</t>
  </si>
  <si>
    <t>P014</t>
  </si>
  <si>
    <t>Study Table</t>
  </si>
  <si>
    <t>Rajkot</t>
  </si>
  <si>
    <t>P015</t>
  </si>
  <si>
    <t>Washing Machine</t>
  </si>
  <si>
    <t>Bhavnagar</t>
  </si>
  <si>
    <t>P016</t>
  </si>
  <si>
    <t>Refrigerator</t>
  </si>
  <si>
    <t>Jamnagar</t>
  </si>
  <si>
    <t>P017</t>
  </si>
  <si>
    <t>Headphones</t>
  </si>
  <si>
    <t>Gandhinagar</t>
  </si>
  <si>
    <t>P018</t>
  </si>
  <si>
    <t>Smart Watch</t>
  </si>
  <si>
    <t>Anand</t>
  </si>
  <si>
    <t>P019</t>
  </si>
  <si>
    <t>T-Shirt</t>
  </si>
  <si>
    <t>P020</t>
  </si>
  <si>
    <t>Jeans</t>
  </si>
  <si>
    <t>P021</t>
  </si>
  <si>
    <t>Jaipur</t>
  </si>
  <si>
    <t>Rajasthan</t>
  </si>
  <si>
    <t>P022</t>
  </si>
  <si>
    <t>Keyboard</t>
  </si>
  <si>
    <t>Jodhpur</t>
  </si>
  <si>
    <t>P023</t>
  </si>
  <si>
    <t>Mouse</t>
  </si>
  <si>
    <t>Udaipur</t>
  </si>
  <si>
    <t>P024</t>
  </si>
  <si>
    <t>Office Desk</t>
  </si>
  <si>
    <t>Kota</t>
  </si>
  <si>
    <t>P025</t>
  </si>
  <si>
    <t>Bookshelf</t>
  </si>
  <si>
    <t>Ajmer</t>
  </si>
  <si>
    <t>P026</t>
  </si>
  <si>
    <t>Ceiling Fan</t>
  </si>
  <si>
    <t>Bikaner</t>
  </si>
  <si>
    <t>P027</t>
  </si>
  <si>
    <t>Cooler</t>
  </si>
  <si>
    <t>Alwar</t>
  </si>
  <si>
    <t>P028</t>
  </si>
  <si>
    <t>Television</t>
  </si>
  <si>
    <t>Bharatpur</t>
  </si>
  <si>
    <t>P029</t>
  </si>
  <si>
    <t>Jacket</t>
  </si>
  <si>
    <t>P030</t>
  </si>
  <si>
    <t>Sandals</t>
  </si>
  <si>
    <t>P031</t>
  </si>
  <si>
    <t>Bengaluru</t>
  </si>
  <si>
    <t>Karnataka</t>
  </si>
  <si>
    <t>P032</t>
  </si>
  <si>
    <t>Mysuru</t>
  </si>
  <si>
    <t>P033</t>
  </si>
  <si>
    <t>Dining Chair</t>
  </si>
  <si>
    <t>Mangaluru</t>
  </si>
  <si>
    <t>P034</t>
  </si>
  <si>
    <t>Coffee Table</t>
  </si>
  <si>
    <t>Hubballi</t>
  </si>
  <si>
    <t>P035</t>
  </si>
  <si>
    <t>Induction Stove</t>
  </si>
  <si>
    <t>Belagavi</t>
  </si>
  <si>
    <t>P036</t>
  </si>
  <si>
    <t>Water Purifier</t>
  </si>
  <si>
    <t>Shivamogga</t>
  </si>
  <si>
    <t>P037</t>
  </si>
  <si>
    <t>Vacuum Cleaner</t>
  </si>
  <si>
    <t>Davanagere</t>
  </si>
  <si>
    <t>P038</t>
  </si>
  <si>
    <t>Bluetooth Speaker</t>
  </si>
  <si>
    <t>Ballari</t>
  </si>
  <si>
    <t>P039</t>
  </si>
  <si>
    <t>Hoodie</t>
  </si>
  <si>
    <t>P040</t>
  </si>
  <si>
    <t>Cap</t>
  </si>
  <si>
    <t>P041</t>
  </si>
  <si>
    <t>Camera</t>
  </si>
  <si>
    <t>P042</t>
  </si>
  <si>
    <t>Monitor</t>
  </si>
  <si>
    <t>P043</t>
  </si>
  <si>
    <t>Router</t>
  </si>
  <si>
    <t>P044</t>
  </si>
  <si>
    <t>Power Bank</t>
  </si>
  <si>
    <t>P045</t>
  </si>
  <si>
    <t>Air Fryer</t>
  </si>
  <si>
    <t>P046</t>
  </si>
  <si>
    <t>Wardrobe</t>
  </si>
  <si>
    <t>P047</t>
  </si>
  <si>
    <t>Gaming Mouse</t>
  </si>
  <si>
    <t>P048</t>
  </si>
  <si>
    <t>Desk Lamp</t>
  </si>
  <si>
    <t>P049</t>
  </si>
  <si>
    <t>Sneakers</t>
  </si>
  <si>
    <t>P050</t>
  </si>
  <si>
    <t>Office Cabinet</t>
  </si>
  <si>
    <t>Row Labels</t>
  </si>
  <si>
    <t>Grand Total</t>
  </si>
  <si>
    <t>sales</t>
  </si>
  <si>
    <t>salling price</t>
  </si>
  <si>
    <t>Sum of sales</t>
  </si>
  <si>
    <t>total_sales</t>
  </si>
  <si>
    <t>discount_amount</t>
  </si>
  <si>
    <t>net_sales</t>
  </si>
  <si>
    <t>Jan</t>
  </si>
  <si>
    <t>Feb</t>
  </si>
  <si>
    <t>Mar</t>
  </si>
  <si>
    <t>Apr</t>
  </si>
  <si>
    <t>May</t>
  </si>
  <si>
    <t>Jun</t>
  </si>
  <si>
    <t>Jul</t>
  </si>
  <si>
    <t>Aug</t>
  </si>
  <si>
    <t>Sep</t>
  </si>
  <si>
    <t>Oct</t>
  </si>
  <si>
    <t>Nov</t>
  </si>
  <si>
    <t>Dec</t>
  </si>
  <si>
    <t>Sum of net_sales</t>
  </si>
  <si>
    <t>total revenue</t>
  </si>
  <si>
    <t>Sum of quantity</t>
  </si>
  <si>
    <t>Average of discount_in_percentage</t>
  </si>
  <si>
    <t>Details for Average of discount_in_percentage - category: Electronics</t>
  </si>
  <si>
    <t>min net_sales</t>
  </si>
  <si>
    <t>avg net_sales</t>
  </si>
  <si>
    <t>max net_sales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</si>
</sst>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1" fillId="0" borderId="0" xfId="0" applyFont="1"/>
    <xf numFmtId="2" fontId="0" fillId="0" borderId="0" xfId="0" applyNumberFormat="1"/>
    <xf numFmtId="0" fontId="0" fillId="0" borderId="0" xfId="0" applyNumberFormat="1"/>
    <xf numFmtId="0" fontId="0" fillId="2" borderId="0" xfId="0" applyFill="1" applyAlignment="1">
      <alignment horizontal="center"/>
    </xf>
  </cellXfs>
  <cellStyles count="1">
    <cellStyle name="Normal" xfId="0" builtinId="0"/>
  </cellStyles>
  <dxfs count="4">
    <dxf>
      <numFmt numFmtId="0" formatCode="General"/>
    </dxf>
    <dxf>
      <numFmt numFmtId="0" formatCode="General"/>
    </dxf>
    <dxf>
      <numFmt numFmtId="164"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[30 june 50 records.xlsx]Sheet3!PivotTable1</c:name>
    <c:fmtId val="4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1555520</c:v>
                </c:pt>
                <c:pt idx="1">
                  <c:v>515240</c:v>
                </c:pt>
                <c:pt idx="2">
                  <c:v>1137440</c:v>
                </c:pt>
                <c:pt idx="3">
                  <c:v>606730</c:v>
                </c:pt>
                <c:pt idx="4">
                  <c:v>889180</c:v>
                </c:pt>
                <c:pt idx="5">
                  <c:v>264100</c:v>
                </c:pt>
                <c:pt idx="6">
                  <c:v>467760</c:v>
                </c:pt>
                <c:pt idx="7">
                  <c:v>1749660</c:v>
                </c:pt>
                <c:pt idx="8">
                  <c:v>352010</c:v>
                </c:pt>
                <c:pt idx="9">
                  <c:v>583348</c:v>
                </c:pt>
                <c:pt idx="10">
                  <c:v>305500</c:v>
                </c:pt>
                <c:pt idx="11">
                  <c:v>157980</c:v>
                </c:pt>
              </c:numCache>
            </c:numRef>
          </c:val>
          <c:smooth val="0"/>
          <c:extLst>
            <c:ext xmlns:c16="http://schemas.microsoft.com/office/drawing/2014/chart" uri="{C3380CC4-5D6E-409C-BE32-E72D297353CC}">
              <c16:uniqueId val="{00000000-BF91-43FA-8831-B2848BE7F320}"/>
            </c:ext>
          </c:extLst>
        </c:ser>
        <c:dLbls>
          <c:dLblPos val="t"/>
          <c:showLegendKey val="0"/>
          <c:showVal val="0"/>
          <c:showCatName val="0"/>
          <c:showSerName val="0"/>
          <c:showPercent val="0"/>
          <c:showBubbleSize val="0"/>
        </c:dLbls>
        <c:marker val="1"/>
        <c:smooth val="0"/>
        <c:axId val="32648159"/>
        <c:axId val="32438351"/>
      </c:lineChart>
      <c:catAx>
        <c:axId val="326481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438351"/>
        <c:crosses val="autoZero"/>
        <c:auto val="1"/>
        <c:lblAlgn val="ctr"/>
        <c:lblOffset val="100"/>
        <c:noMultiLvlLbl val="0"/>
      </c:catAx>
      <c:valAx>
        <c:axId val="324383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64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[30 june 50 records.xlsx]Sheet3!PivotTable2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Wise Net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Sheet3!$F$3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Sheet3!$E$4:$E$8</c:f>
              <c:strCache>
                <c:ptCount val="4"/>
                <c:pt idx="0">
                  <c:v>Electronics</c:v>
                </c:pt>
                <c:pt idx="1">
                  <c:v>Fashion</c:v>
                </c:pt>
                <c:pt idx="2">
                  <c:v>Furniture</c:v>
                </c:pt>
                <c:pt idx="3">
                  <c:v>Home Appliances</c:v>
                </c:pt>
              </c:strCache>
            </c:strRef>
          </c:cat>
          <c:val>
            <c:numRef>
              <c:f>Sheet3!$F$4:$F$8</c:f>
              <c:numCache>
                <c:formatCode>General</c:formatCode>
                <c:ptCount val="4"/>
                <c:pt idx="0">
                  <c:v>5924478</c:v>
                </c:pt>
                <c:pt idx="1">
                  <c:v>406050</c:v>
                </c:pt>
                <c:pt idx="2">
                  <c:v>961840</c:v>
                </c:pt>
                <c:pt idx="3">
                  <c:v>1292100</c:v>
                </c:pt>
              </c:numCache>
            </c:numRef>
          </c:val>
          <c:extLst>
            <c:ext xmlns:c16="http://schemas.microsoft.com/office/drawing/2014/chart" uri="{C3380CC4-5D6E-409C-BE32-E72D297353CC}">
              <c16:uniqueId val="{00000000-CB53-4F90-936C-47DCB11C4479}"/>
            </c:ext>
          </c:extLst>
        </c:ser>
        <c:dLbls>
          <c:showLegendKey val="0"/>
          <c:showVal val="1"/>
          <c:showCatName val="0"/>
          <c:showSerName val="0"/>
          <c:showPercent val="0"/>
          <c:showBubbleSize val="0"/>
        </c:dLbls>
        <c:gapWidth val="65"/>
        <c:shape val="box"/>
        <c:axId val="135135951"/>
        <c:axId val="135137391"/>
        <c:axId val="0"/>
      </c:bar3DChart>
      <c:catAx>
        <c:axId val="1351359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5137391"/>
        <c:crosses val="autoZero"/>
        <c:auto val="1"/>
        <c:lblAlgn val="ctr"/>
        <c:lblOffset val="100"/>
        <c:noMultiLvlLbl val="0"/>
      </c:catAx>
      <c:valAx>
        <c:axId val="1351373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51359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[30 june 50 records.xlsx]Sheet3!PivotTable3</c:name>
    <c:fmtId val="18"/>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State Wise Net Sales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Sheet3!$I$3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Sheet3!$H$4:$H$8</c:f>
              <c:strCache>
                <c:ptCount val="4"/>
                <c:pt idx="0">
                  <c:v>Gujarat</c:v>
                </c:pt>
                <c:pt idx="1">
                  <c:v>Karnataka</c:v>
                </c:pt>
                <c:pt idx="2">
                  <c:v>Maharashtra</c:v>
                </c:pt>
                <c:pt idx="3">
                  <c:v>Rajasthan</c:v>
                </c:pt>
              </c:strCache>
            </c:strRef>
          </c:cat>
          <c:val>
            <c:numRef>
              <c:f>Sheet3!$I$4:$I$8</c:f>
              <c:numCache>
                <c:formatCode>General</c:formatCode>
                <c:ptCount val="4"/>
                <c:pt idx="0">
                  <c:v>2326280</c:v>
                </c:pt>
                <c:pt idx="1">
                  <c:v>2202920</c:v>
                </c:pt>
                <c:pt idx="2">
                  <c:v>2581920</c:v>
                </c:pt>
                <c:pt idx="3">
                  <c:v>1473348</c:v>
                </c:pt>
              </c:numCache>
            </c:numRef>
          </c:val>
          <c:extLst>
            <c:ext xmlns:c16="http://schemas.microsoft.com/office/drawing/2014/chart" uri="{C3380CC4-5D6E-409C-BE32-E72D297353CC}">
              <c16:uniqueId val="{00000000-44E4-4BA1-AAB9-7B9C86EA5C53}"/>
            </c:ext>
          </c:extLst>
        </c:ser>
        <c:dLbls>
          <c:showLegendKey val="0"/>
          <c:showVal val="1"/>
          <c:showCatName val="0"/>
          <c:showSerName val="0"/>
          <c:showPercent val="0"/>
          <c:showBubbleSize val="0"/>
        </c:dLbls>
        <c:gapWidth val="84"/>
        <c:gapDepth val="53"/>
        <c:shape val="box"/>
        <c:axId val="170124063"/>
        <c:axId val="170125503"/>
        <c:axId val="0"/>
      </c:bar3DChart>
      <c:catAx>
        <c:axId val="17012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125503"/>
        <c:crosses val="autoZero"/>
        <c:auto val="1"/>
        <c:lblAlgn val="ctr"/>
        <c:lblOffset val="100"/>
        <c:noMultiLvlLbl val="0"/>
      </c:catAx>
      <c:valAx>
        <c:axId val="170125503"/>
        <c:scaling>
          <c:orientation val="minMax"/>
        </c:scaling>
        <c:delete val="1"/>
        <c:axPos val="b"/>
        <c:numFmt formatCode="General" sourceLinked="1"/>
        <c:majorTickMark val="out"/>
        <c:minorTickMark val="none"/>
        <c:tickLblPos val="nextTo"/>
        <c:crossAx val="17012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[30 june 50 records.xlsx]Sheet3!PivotTable5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Discount Percentage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Sheet3!$F$15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739-44C3-9062-34C8D21A405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739-44C3-9062-34C8D21A405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739-44C3-9062-34C8D21A405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739-44C3-9062-34C8D21A40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Sheet3!$E$16:$E$20</c:f>
              <c:strCache>
                <c:ptCount val="4"/>
                <c:pt idx="0">
                  <c:v>Electronics</c:v>
                </c:pt>
                <c:pt idx="1">
                  <c:v>Fashion</c:v>
                </c:pt>
                <c:pt idx="2">
                  <c:v>Furniture</c:v>
                </c:pt>
                <c:pt idx="3">
                  <c:v>Home Appliances</c:v>
                </c:pt>
              </c:strCache>
            </c:strRef>
          </c:cat>
          <c:val>
            <c:numRef>
              <c:f>Sheet3!$F$16:$F$20</c:f>
              <c:numCache>
                <c:formatCode>0.00</c:formatCode>
                <c:ptCount val="4"/>
                <c:pt idx="0">
                  <c:v>11.421052631578947</c:v>
                </c:pt>
                <c:pt idx="1">
                  <c:v>19.777777777777779</c:v>
                </c:pt>
                <c:pt idx="2">
                  <c:v>11.3</c:v>
                </c:pt>
                <c:pt idx="3">
                  <c:v>13.416666666666666</c:v>
                </c:pt>
              </c:numCache>
            </c:numRef>
          </c:val>
          <c:extLst>
            <c:ext xmlns:c16="http://schemas.microsoft.com/office/drawing/2014/chart" uri="{C3380CC4-5D6E-409C-BE32-E72D297353CC}">
              <c16:uniqueId val="{00000008-9739-44C3-9062-34C8D21A4055}"/>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[30 june 50 records.xlsx]Sheet3!PivotTable4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Sheet3!$L$3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ECE-495D-808B-BA4E3F9C5EF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ECE-495D-808B-BA4E3F9C5EF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ECE-495D-808B-BA4E3F9C5EF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ECE-495D-808B-BA4E3F9C5E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Sheet3!$K$4:$K$8</c:f>
              <c:strCache>
                <c:ptCount val="4"/>
                <c:pt idx="0">
                  <c:v>Electronics</c:v>
                </c:pt>
                <c:pt idx="1">
                  <c:v>Fashion</c:v>
                </c:pt>
                <c:pt idx="2">
                  <c:v>Furniture</c:v>
                </c:pt>
                <c:pt idx="3">
                  <c:v>Home Appliances</c:v>
                </c:pt>
              </c:strCache>
            </c:strRef>
          </c:cat>
          <c:val>
            <c:numRef>
              <c:f>Sheet3!$L$4:$L$8</c:f>
              <c:numCache>
                <c:formatCode>General</c:formatCode>
                <c:ptCount val="4"/>
                <c:pt idx="0">
                  <c:v>393</c:v>
                </c:pt>
                <c:pt idx="1">
                  <c:v>297</c:v>
                </c:pt>
                <c:pt idx="2">
                  <c:v>112</c:v>
                </c:pt>
                <c:pt idx="3">
                  <c:v>154</c:v>
                </c:pt>
              </c:numCache>
            </c:numRef>
          </c:val>
          <c:extLst>
            <c:ext xmlns:c16="http://schemas.microsoft.com/office/drawing/2014/chart" uri="{C3380CC4-5D6E-409C-BE32-E72D297353CC}">
              <c16:uniqueId val="{00000008-8ECE-495D-808B-BA4E3F9C5EF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[30 june 50 records.xlsx]Sheet3!PivotTable6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Sales of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bar"/>
        <c:grouping val="clustered"/>
        <c:varyColors val="0"/>
        <c:ser>
          <c:idx val="0"/>
          <c:order val="0"/>
          <c:tx>
            <c:strRef>
              <c:f>Sheet3!$I$15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Sheet3!$H$16:$H$26</c:f>
              <c:strCache>
                <c:ptCount val="10"/>
                <c:pt idx="0">
                  <c:v>Washing Machine</c:v>
                </c:pt>
                <c:pt idx="1">
                  <c:v>Smart Watch</c:v>
                </c:pt>
                <c:pt idx="2">
                  <c:v>Monitor</c:v>
                </c:pt>
                <c:pt idx="3">
                  <c:v>Air Conditioner</c:v>
                </c:pt>
                <c:pt idx="4">
                  <c:v>Refrigerator</c:v>
                </c:pt>
                <c:pt idx="5">
                  <c:v>Television</c:v>
                </c:pt>
                <c:pt idx="6">
                  <c:v>Camera</c:v>
                </c:pt>
                <c:pt idx="7">
                  <c:v>Tablet</c:v>
                </c:pt>
                <c:pt idx="8">
                  <c:v>Smartphone</c:v>
                </c:pt>
                <c:pt idx="9">
                  <c:v>Laptop</c:v>
                </c:pt>
              </c:strCache>
            </c:strRef>
          </c:cat>
          <c:val>
            <c:numRef>
              <c:f>Sheet3!$I$16:$I$26</c:f>
              <c:numCache>
                <c:formatCode>General</c:formatCode>
                <c:ptCount val="10"/>
                <c:pt idx="0">
                  <c:v>163800</c:v>
                </c:pt>
                <c:pt idx="1">
                  <c:v>168300</c:v>
                </c:pt>
                <c:pt idx="2">
                  <c:v>221850</c:v>
                </c:pt>
                <c:pt idx="3">
                  <c:v>226800</c:v>
                </c:pt>
                <c:pt idx="4">
                  <c:v>264330</c:v>
                </c:pt>
                <c:pt idx="5">
                  <c:v>282720</c:v>
                </c:pt>
                <c:pt idx="6">
                  <c:v>287040</c:v>
                </c:pt>
                <c:pt idx="7">
                  <c:v>345600</c:v>
                </c:pt>
                <c:pt idx="8">
                  <c:v>1353800</c:v>
                </c:pt>
                <c:pt idx="9">
                  <c:v>2758080</c:v>
                </c:pt>
              </c:numCache>
            </c:numRef>
          </c:val>
          <c:extLst>
            <c:ext xmlns:c16="http://schemas.microsoft.com/office/drawing/2014/chart" uri="{C3380CC4-5D6E-409C-BE32-E72D297353CC}">
              <c16:uniqueId val="{00000000-F36C-4A21-8BA5-D5DF2D7798A7}"/>
            </c:ext>
          </c:extLst>
        </c:ser>
        <c:dLbls>
          <c:dLblPos val="inEnd"/>
          <c:showLegendKey val="0"/>
          <c:showVal val="0"/>
          <c:showCatName val="0"/>
          <c:showSerName val="0"/>
          <c:showPercent val="0"/>
          <c:showBubbleSize val="0"/>
        </c:dLbls>
        <c:gapWidth val="115"/>
        <c:overlap val="-20"/>
        <c:axId val="2027145567"/>
        <c:axId val="2027146047"/>
      </c:barChart>
      <c:catAx>
        <c:axId val="20271455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7146047"/>
        <c:crosses val="autoZero"/>
        <c:auto val="1"/>
        <c:lblAlgn val="ctr"/>
        <c:lblOffset val="100"/>
        <c:noMultiLvlLbl val="0"/>
      </c:catAx>
      <c:valAx>
        <c:axId val="20271460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714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9526</xdr:rowOff>
    </xdr:from>
    <xdr:to>
      <xdr:col>27</xdr:col>
      <xdr:colOff>9524</xdr:colOff>
      <xdr:row>2</xdr:row>
      <xdr:rowOff>152400</xdr:rowOff>
    </xdr:to>
    <xdr:sp macro="" textlink="">
      <xdr:nvSpPr>
        <xdr:cNvPr id="2" name="TextBox 1">
          <a:extLst>
            <a:ext uri="{FF2B5EF4-FFF2-40B4-BE49-F238E27FC236}">
              <a16:creationId xmlns:a16="http://schemas.microsoft.com/office/drawing/2014/main" id="{848014FC-8A26-6C3B-3E52-65C21E12ECDC}"/>
            </a:ext>
          </a:extLst>
        </xdr:cNvPr>
        <xdr:cNvSpPr txBox="1"/>
      </xdr:nvSpPr>
      <xdr:spPr>
        <a:xfrm>
          <a:off x="0" y="9526"/>
          <a:ext cx="16468724" cy="504824"/>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rPr>
            <a:t>SALES</a:t>
          </a:r>
          <a:r>
            <a:rPr lang="en-IN" sz="1800" baseline="0">
              <a:solidFill>
                <a:schemeClr val="bg1"/>
              </a:solidFill>
            </a:rPr>
            <a:t> DASHBOARD</a:t>
          </a:r>
          <a:endParaRPr lang="en-IN" sz="1800">
            <a:solidFill>
              <a:schemeClr val="bg1"/>
            </a:solidFill>
          </a:endParaRPr>
        </a:p>
      </xdr:txBody>
    </xdr:sp>
    <xdr:clientData/>
  </xdr:twoCellAnchor>
  <xdr:twoCellAnchor>
    <xdr:from>
      <xdr:col>0</xdr:col>
      <xdr:colOff>104775</xdr:colOff>
      <xdr:row>9</xdr:row>
      <xdr:rowOff>114300</xdr:rowOff>
    </xdr:from>
    <xdr:to>
      <xdr:col>3</xdr:col>
      <xdr:colOff>75975</xdr:colOff>
      <xdr:row>14</xdr:row>
      <xdr:rowOff>109425</xdr:rowOff>
    </xdr:to>
    <xdr:sp macro="" textlink="Sheet3!L17">
      <xdr:nvSpPr>
        <xdr:cNvPr id="3" name="TextBox 2">
          <a:extLst>
            <a:ext uri="{FF2B5EF4-FFF2-40B4-BE49-F238E27FC236}">
              <a16:creationId xmlns:a16="http://schemas.microsoft.com/office/drawing/2014/main" id="{5426BC15-9F48-22E6-729E-6C51918FD9A0}"/>
            </a:ext>
          </a:extLst>
        </xdr:cNvPr>
        <xdr:cNvSpPr txBox="1"/>
      </xdr:nvSpPr>
      <xdr:spPr>
        <a:xfrm>
          <a:off x="104775" y="657225"/>
          <a:ext cx="1800000" cy="900000"/>
        </a:xfrm>
        <a:prstGeom prst="snip1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pPr algn="ctr"/>
          <a:r>
            <a:rPr lang="en-US" sz="2000" b="1" i="0" u="none" strike="noStrike">
              <a:solidFill>
                <a:srgbClr val="000000"/>
              </a:solidFill>
              <a:latin typeface="Calibri"/>
              <a:ea typeface="Calibri"/>
              <a:cs typeface="Calibri"/>
            </a:rPr>
            <a:t>Total Revenue</a:t>
          </a:r>
        </a:p>
        <a:p>
          <a:pPr algn="ctr"/>
          <a:fld id="{22E8A2EC-EFC7-4407-932A-7EF1A4AE0C5B}" type="TxLink">
            <a:rPr lang="en-US" sz="2000" b="1" i="0" u="none" strike="noStrike">
              <a:solidFill>
                <a:srgbClr val="000000"/>
              </a:solidFill>
              <a:latin typeface="Calibri"/>
              <a:ea typeface="Calibri"/>
              <a:cs typeface="Calibri"/>
            </a:rPr>
            <a:pPr algn="ctr"/>
            <a:t>8584468</a:t>
          </a:fld>
          <a:endParaRPr lang="en-IN" sz="2000" b="1"/>
        </a:p>
      </xdr:txBody>
    </xdr:sp>
    <xdr:clientData/>
  </xdr:twoCellAnchor>
  <xdr:twoCellAnchor>
    <xdr:from>
      <xdr:col>4</xdr:col>
      <xdr:colOff>177800</xdr:colOff>
      <xdr:row>9</xdr:row>
      <xdr:rowOff>123825</xdr:rowOff>
    </xdr:from>
    <xdr:to>
      <xdr:col>7</xdr:col>
      <xdr:colOff>149000</xdr:colOff>
      <xdr:row>14</xdr:row>
      <xdr:rowOff>118950</xdr:rowOff>
    </xdr:to>
    <xdr:sp macro="" textlink="Sheet3!L18">
      <xdr:nvSpPr>
        <xdr:cNvPr id="5" name="TextBox 4">
          <a:extLst>
            <a:ext uri="{FF2B5EF4-FFF2-40B4-BE49-F238E27FC236}">
              <a16:creationId xmlns:a16="http://schemas.microsoft.com/office/drawing/2014/main" id="{65692978-9CAF-478B-BC8D-6EFFFACC8D16}"/>
            </a:ext>
          </a:extLst>
        </xdr:cNvPr>
        <xdr:cNvSpPr txBox="1"/>
      </xdr:nvSpPr>
      <xdr:spPr>
        <a:xfrm>
          <a:off x="2616200" y="666750"/>
          <a:ext cx="1800000" cy="900000"/>
        </a:xfrm>
        <a:prstGeom prst="snip1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pPr marL="0" indent="0" algn="ctr"/>
          <a:r>
            <a:rPr lang="en-US" sz="2000" b="1" i="0" u="none" strike="noStrike">
              <a:solidFill>
                <a:srgbClr val="000000"/>
              </a:solidFill>
              <a:latin typeface="Calibri"/>
              <a:ea typeface="Calibri"/>
              <a:cs typeface="Calibri"/>
            </a:rPr>
            <a:t>Avg Net Sale</a:t>
          </a:r>
        </a:p>
        <a:p>
          <a:pPr marL="0" indent="0" algn="ctr"/>
          <a:fld id="{220EC6CE-AAEB-4F25-88C6-63F5F3A47507}" type="TxLink">
            <a:rPr lang="en-US" sz="2000" b="1" i="0" u="none" strike="noStrike">
              <a:solidFill>
                <a:srgbClr val="000000"/>
              </a:solidFill>
              <a:latin typeface="Calibri"/>
              <a:ea typeface="Calibri"/>
              <a:cs typeface="Calibri"/>
            </a:rPr>
            <a:pPr marL="0" indent="0" algn="ctr"/>
            <a:t>171689.36</a:t>
          </a:fld>
          <a:endParaRPr lang="en-US" sz="2000" b="1" i="0" u="none" strike="noStrike">
            <a:solidFill>
              <a:srgbClr val="000000"/>
            </a:solidFill>
            <a:latin typeface="Calibri"/>
            <a:ea typeface="Calibri"/>
            <a:cs typeface="Calibri"/>
          </a:endParaRPr>
        </a:p>
      </xdr:txBody>
    </xdr:sp>
    <xdr:clientData/>
  </xdr:twoCellAnchor>
  <xdr:twoCellAnchor>
    <xdr:from>
      <xdr:col>8</xdr:col>
      <xdr:colOff>250825</xdr:colOff>
      <xdr:row>9</xdr:row>
      <xdr:rowOff>133350</xdr:rowOff>
    </xdr:from>
    <xdr:to>
      <xdr:col>11</xdr:col>
      <xdr:colOff>222025</xdr:colOff>
      <xdr:row>14</xdr:row>
      <xdr:rowOff>128475</xdr:rowOff>
    </xdr:to>
    <xdr:sp macro="" textlink="Sheet3!L18">
      <xdr:nvSpPr>
        <xdr:cNvPr id="6" name="TextBox 5">
          <a:extLst>
            <a:ext uri="{FF2B5EF4-FFF2-40B4-BE49-F238E27FC236}">
              <a16:creationId xmlns:a16="http://schemas.microsoft.com/office/drawing/2014/main" id="{8E517A5C-4EA7-45CD-9314-8FA8C4AE4759}"/>
            </a:ext>
          </a:extLst>
        </xdr:cNvPr>
        <xdr:cNvSpPr txBox="1"/>
      </xdr:nvSpPr>
      <xdr:spPr>
        <a:xfrm>
          <a:off x="5127625" y="676275"/>
          <a:ext cx="1800000" cy="900000"/>
        </a:xfrm>
        <a:prstGeom prst="snip1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pPr marL="0" indent="0" algn="ctr"/>
          <a:r>
            <a:rPr lang="en-US" sz="2000" b="1" i="0" u="none" strike="noStrike">
              <a:solidFill>
                <a:srgbClr val="000000"/>
              </a:solidFill>
              <a:latin typeface="Calibri"/>
              <a:ea typeface="Calibri"/>
              <a:cs typeface="Calibri"/>
            </a:rPr>
            <a:t>Min Net Sale</a:t>
          </a:r>
        </a:p>
        <a:p>
          <a:pPr marL="0" indent="0" algn="ctr"/>
          <a:fld id="{ABF45C9F-B865-40B4-80C5-52DF61A248AD}" type="TxLink">
            <a:rPr lang="en-US" sz="2000" b="1" i="0" u="none" strike="noStrike">
              <a:solidFill>
                <a:srgbClr val="000000"/>
              </a:solidFill>
              <a:latin typeface="Calibri"/>
              <a:ea typeface="Calibri"/>
              <a:cs typeface="Calibri"/>
            </a:rPr>
            <a:pPr marL="0" indent="0" algn="ctr"/>
            <a:t>171689.36</a:t>
          </a:fld>
          <a:endParaRPr lang="en-IN" sz="2000" b="1" i="0" u="none" strike="noStrike">
            <a:solidFill>
              <a:srgbClr val="000000"/>
            </a:solidFill>
            <a:latin typeface="Calibri"/>
            <a:ea typeface="Calibri"/>
            <a:cs typeface="Calibri"/>
          </a:endParaRPr>
        </a:p>
      </xdr:txBody>
    </xdr:sp>
    <xdr:clientData/>
  </xdr:twoCellAnchor>
  <xdr:twoCellAnchor>
    <xdr:from>
      <xdr:col>12</xdr:col>
      <xdr:colOff>314325</xdr:colOff>
      <xdr:row>9</xdr:row>
      <xdr:rowOff>133350</xdr:rowOff>
    </xdr:from>
    <xdr:to>
      <xdr:col>15</xdr:col>
      <xdr:colOff>285525</xdr:colOff>
      <xdr:row>14</xdr:row>
      <xdr:rowOff>128475</xdr:rowOff>
    </xdr:to>
    <xdr:sp macro="" textlink="Sheet3!L20">
      <xdr:nvSpPr>
        <xdr:cNvPr id="7" name="TextBox 6">
          <a:extLst>
            <a:ext uri="{FF2B5EF4-FFF2-40B4-BE49-F238E27FC236}">
              <a16:creationId xmlns:a16="http://schemas.microsoft.com/office/drawing/2014/main" id="{956C1743-4F16-4D11-83C8-EC89E7497E44}"/>
            </a:ext>
          </a:extLst>
        </xdr:cNvPr>
        <xdr:cNvSpPr txBox="1"/>
      </xdr:nvSpPr>
      <xdr:spPr>
        <a:xfrm>
          <a:off x="7629525" y="676275"/>
          <a:ext cx="1800000" cy="900000"/>
        </a:xfrm>
        <a:prstGeom prst="snip1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pPr marL="0" indent="0" algn="ctr"/>
          <a:r>
            <a:rPr lang="en-US" sz="2000" b="1" i="0" u="none" strike="noStrike">
              <a:solidFill>
                <a:srgbClr val="000000"/>
              </a:solidFill>
              <a:latin typeface="Calibri"/>
              <a:ea typeface="Calibri"/>
              <a:cs typeface="Calibri"/>
            </a:rPr>
            <a:t>Max</a:t>
          </a:r>
          <a:r>
            <a:rPr lang="en-US" sz="2000" b="1" i="0" u="none" strike="noStrike" baseline="0">
              <a:solidFill>
                <a:srgbClr val="000000"/>
              </a:solidFill>
              <a:latin typeface="Calibri"/>
              <a:ea typeface="Calibri"/>
              <a:cs typeface="Calibri"/>
            </a:rPr>
            <a:t> Net Sale</a:t>
          </a:r>
          <a:endParaRPr lang="en-US" sz="2000" b="1" i="0" u="none" strike="noStrike">
            <a:solidFill>
              <a:srgbClr val="000000"/>
            </a:solidFill>
            <a:latin typeface="Calibri"/>
            <a:ea typeface="Calibri"/>
            <a:cs typeface="Calibri"/>
          </a:endParaRPr>
        </a:p>
        <a:p>
          <a:pPr marL="0" indent="0" algn="ctr"/>
          <a:fld id="{066C9399-BC4B-4EC4-A266-6AE8AD5C159A}" type="TxLink">
            <a:rPr lang="en-US" sz="2000" b="1" i="0" u="none" strike="noStrike">
              <a:solidFill>
                <a:srgbClr val="000000"/>
              </a:solidFill>
              <a:latin typeface="Calibri"/>
              <a:ea typeface="Calibri"/>
              <a:cs typeface="Calibri"/>
            </a:rPr>
            <a:pPr marL="0" indent="0" algn="ctr"/>
            <a:t>844200</a:t>
          </a:fld>
          <a:endParaRPr lang="en-IN" sz="2000" b="1" i="0" u="none" strike="noStrike">
            <a:solidFill>
              <a:srgbClr val="000000"/>
            </a:solidFill>
            <a:latin typeface="Calibri"/>
            <a:ea typeface="Calibri"/>
            <a:cs typeface="Calibri"/>
          </a:endParaRPr>
        </a:p>
      </xdr:txBody>
    </xdr:sp>
    <xdr:clientData/>
  </xdr:twoCellAnchor>
  <xdr:twoCellAnchor>
    <xdr:from>
      <xdr:col>0</xdr:col>
      <xdr:colOff>419100</xdr:colOff>
      <xdr:row>17</xdr:row>
      <xdr:rowOff>104775</xdr:rowOff>
    </xdr:from>
    <xdr:to>
      <xdr:col>8</xdr:col>
      <xdr:colOff>114300</xdr:colOff>
      <xdr:row>32</xdr:row>
      <xdr:rowOff>133350</xdr:rowOff>
    </xdr:to>
    <xdr:graphicFrame macro="">
      <xdr:nvGraphicFramePr>
        <xdr:cNvPr id="8" name="Chart 7">
          <a:extLst>
            <a:ext uri="{FF2B5EF4-FFF2-40B4-BE49-F238E27FC236}">
              <a16:creationId xmlns:a16="http://schemas.microsoft.com/office/drawing/2014/main" id="{E3A4608E-3F35-4BC1-92EC-4181F46F4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142875</xdr:colOff>
      <xdr:row>17</xdr:row>
      <xdr:rowOff>123825</xdr:rowOff>
    </xdr:from>
    <xdr:to>
      <xdr:col>16</xdr:col>
      <xdr:colOff>447675</xdr:colOff>
      <xdr:row>32</xdr:row>
      <xdr:rowOff>152400</xdr:rowOff>
    </xdr:to>
    <xdr:graphicFrame macro="">
      <xdr:nvGraphicFramePr>
        <xdr:cNvPr id="9" name="Chart 8">
          <a:extLst>
            <a:ext uri="{FF2B5EF4-FFF2-40B4-BE49-F238E27FC236}">
              <a16:creationId xmlns:a16="http://schemas.microsoft.com/office/drawing/2014/main" id="{368AAA14-4D1B-4F7A-A4B0-5C4EBA93A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447675</xdr:colOff>
      <xdr:row>37</xdr:row>
      <xdr:rowOff>47625</xdr:rowOff>
    </xdr:from>
    <xdr:to>
      <xdr:col>8</xdr:col>
      <xdr:colOff>142875</xdr:colOff>
      <xdr:row>52</xdr:row>
      <xdr:rowOff>76200</xdr:rowOff>
    </xdr:to>
    <xdr:graphicFrame macro="">
      <xdr:nvGraphicFramePr>
        <xdr:cNvPr id="10" name="Chart 9">
          <a:extLst>
            <a:ext uri="{FF2B5EF4-FFF2-40B4-BE49-F238E27FC236}">
              <a16:creationId xmlns:a16="http://schemas.microsoft.com/office/drawing/2014/main" id="{4CC5FF43-9505-4894-9F8A-03E6CC3EE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152400</xdr:colOff>
      <xdr:row>37</xdr:row>
      <xdr:rowOff>38100</xdr:rowOff>
    </xdr:from>
    <xdr:to>
      <xdr:col>16</xdr:col>
      <xdr:colOff>457200</xdr:colOff>
      <xdr:row>52</xdr:row>
      <xdr:rowOff>66675</xdr:rowOff>
    </xdr:to>
    <xdr:graphicFrame macro="">
      <xdr:nvGraphicFramePr>
        <xdr:cNvPr id="11" name="Chart 10">
          <a:extLst>
            <a:ext uri="{FF2B5EF4-FFF2-40B4-BE49-F238E27FC236}">
              <a16:creationId xmlns:a16="http://schemas.microsoft.com/office/drawing/2014/main" id="{2D955F3D-FA61-436E-98B8-2DA26EB28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457200</xdr:colOff>
      <xdr:row>37</xdr:row>
      <xdr:rowOff>47625</xdr:rowOff>
    </xdr:from>
    <xdr:to>
      <xdr:col>25</xdr:col>
      <xdr:colOff>152400</xdr:colOff>
      <xdr:row>52</xdr:row>
      <xdr:rowOff>76200</xdr:rowOff>
    </xdr:to>
    <xdr:graphicFrame macro="">
      <xdr:nvGraphicFramePr>
        <xdr:cNvPr id="12" name="Chart 11">
          <a:extLst>
            <a:ext uri="{FF2B5EF4-FFF2-40B4-BE49-F238E27FC236}">
              <a16:creationId xmlns:a16="http://schemas.microsoft.com/office/drawing/2014/main" id="{28579018-594E-4CA0-B063-57682AB88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457200</xdr:colOff>
      <xdr:row>17</xdr:row>
      <xdr:rowOff>142875</xdr:rowOff>
    </xdr:from>
    <xdr:to>
      <xdr:col>25</xdr:col>
      <xdr:colOff>152400</xdr:colOff>
      <xdr:row>32</xdr:row>
      <xdr:rowOff>171450</xdr:rowOff>
    </xdr:to>
    <xdr:graphicFrame macro="">
      <xdr:nvGraphicFramePr>
        <xdr:cNvPr id="13" name="Chart 12">
          <a:extLst>
            <a:ext uri="{FF2B5EF4-FFF2-40B4-BE49-F238E27FC236}">
              <a16:creationId xmlns:a16="http://schemas.microsoft.com/office/drawing/2014/main" id="{8AD08568-67B7-4C5E-A7F5-652F2A34D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219075</xdr:colOff>
      <xdr:row>3</xdr:row>
      <xdr:rowOff>144780</xdr:rowOff>
    </xdr:from>
    <xdr:to>
      <xdr:col>15</xdr:col>
      <xdr:colOff>28575</xdr:colOff>
      <xdr:row>8</xdr:row>
      <xdr:rowOff>133350</xdr:rowOff>
    </xdr:to>
    <mc:AlternateContent xmlns:mc="http://schemas.openxmlformats.org/markup-compatibility/2006">
      <mc:Choice xmlns:a14="http://schemas.microsoft.com/office/drawing/2010/main" Requires="a14">
        <xdr:graphicFrame macro="">
          <xdr:nvGraphicFramePr>
            <xdr:cNvPr id="4" name="Months (date)">
              <a:extLst>
                <a:ext uri="{FF2B5EF4-FFF2-40B4-BE49-F238E27FC236}">
                  <a16:creationId xmlns:a16="http://schemas.microsoft.com/office/drawing/2014/main" id="{B5E49F66-6AA6-7C66-49AB-C7A6EBD565A3}"/>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219075" y="678180"/>
              <a:ext cx="8953500" cy="877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285750</xdr:colOff>
      <xdr:row>6</xdr:row>
      <xdr:rowOff>114301</xdr:rowOff>
    </xdr:from>
    <xdr:to>
      <xdr:col>25</xdr:col>
      <xdr:colOff>323850</xdr:colOff>
      <xdr:row>13</xdr:row>
      <xdr:rowOff>88901</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099C09D1-D061-9B98-D0F5-7BBED581779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039350" y="1181101"/>
              <a:ext cx="55245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KAR THORAT" refreshedDate="46203.739073379627" createdVersion="8" refreshedVersion="8" minRefreshableVersion="3" recordCount="50" xr:uid="{01C29672-4D66-40B9-BAC3-58516597B138}">
  <cacheSource type="worksheet">
    <worksheetSource ref="A1:K51" sheet="Sheet"/>
  </cacheSource>
  <cacheFields count="11">
    <cacheField name="date" numFmtId="164">
      <sharedItems containsSemiMixedTypes="0" containsNonDate="0" containsDate="1" containsString="0" minDate="2025-01-05T00:00:00" maxDate="2025-12-15T00:00:00"/>
    </cacheField>
    <cacheField name="product_id" numFmtId="0">
      <sharedItems/>
    </cacheField>
    <cacheField name="product_name" numFmtId="0">
      <sharedItems/>
    </cacheField>
    <cacheField name="category" numFmtId="0">
      <sharedItems/>
    </cacheField>
    <cacheField name="city" numFmtId="0">
      <sharedItems/>
    </cacheField>
    <cacheField name="state" numFmtId="0">
      <sharedItems count="4">
        <s v="Maharashtra"/>
        <s v="Gujarat"/>
        <s v="Rajasthan"/>
        <s v="Karnataka"/>
      </sharedItems>
    </cacheField>
    <cacheField name="quantity" numFmtId="0">
      <sharedItems containsSemiMixedTypes="0" containsString="0" containsNumber="1" containsInteger="1" minValue="4" maxValue="50"/>
    </cacheField>
    <cacheField name="price_per_unit" numFmtId="0">
      <sharedItems containsSemiMixedTypes="0" containsString="0" containsNumber="1" containsInteger="1" minValue="600" maxValue="67000"/>
    </cacheField>
    <cacheField name="discount_in_percentage" numFmtId="0">
      <sharedItems containsSemiMixedTypes="0" containsString="0" containsNumber="1" containsInteger="1" minValue="5" maxValue="25"/>
    </cacheField>
    <cacheField name="salling price" numFmtId="0">
      <sharedItems containsSemiMixedTypes="0" containsString="0" containsNumber="1" containsInteger="1" minValue="450" maxValue="60300"/>
    </cacheField>
    <cacheField name="sales" numFmtId="0">
      <sharedItems containsSemiMixedTypes="0" containsString="0" containsNumber="1" containsInteger="1" minValue="27000" maxValue="938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KAR THORAT" refreshedDate="46204.732798379628" createdVersion="8" refreshedVersion="8" minRefreshableVersion="3" recordCount="50" xr:uid="{59220415-CD71-4343-B17E-8C1178DF91F1}">
  <cacheSource type="worksheet">
    <worksheetSource name="Table1"/>
  </cacheSource>
  <cacheFields count="14">
    <cacheField name="date" numFmtId="164">
      <sharedItems containsSemiMixedTypes="0" containsNonDate="0" containsDate="1" containsString="0" minDate="2025-01-05T00:00:00" maxDate="2025-12-15T00:00:00" count="50">
        <d v="2025-01-05T00:00:00"/>
        <d v="2025-01-12T00:00:00"/>
        <d v="2025-01-19T00:00:00"/>
        <d v="2025-01-26T00:00:00"/>
        <d v="2025-02-02T00:00:00"/>
        <d v="2025-02-09T00:00:00"/>
        <d v="2025-02-16T00:00:00"/>
        <d v="2025-02-23T00:00:00"/>
        <d v="2025-03-02T00:00:00"/>
        <d v="2025-03-09T00:00:00"/>
        <d v="2025-03-16T00:00:00"/>
        <d v="2025-03-23T00:00:00"/>
        <d v="2025-03-30T00:00:00"/>
        <d v="2025-04-06T00:00:00"/>
        <d v="2025-04-13T00:00:00"/>
        <d v="2025-04-20T00:00:00"/>
        <d v="2025-04-27T00:00:00"/>
        <d v="2025-05-04T00:00:00"/>
        <d v="2025-05-11T00:00:00"/>
        <d v="2025-05-18T00:00:00"/>
        <d v="2025-05-25T00:00:00"/>
        <d v="2025-06-01T00:00:00"/>
        <d v="2025-06-08T00:00:00"/>
        <d v="2025-06-15T00:00:00"/>
        <d v="2025-06-22T00:00:00"/>
        <d v="2025-06-29T00:00:00"/>
        <d v="2025-07-06T00:00:00"/>
        <d v="2025-07-13T00:00:00"/>
        <d v="2025-07-20T00:00:00"/>
        <d v="2025-07-27T00:00:00"/>
        <d v="2025-08-03T00:00:00"/>
        <d v="2025-08-10T00:00:00"/>
        <d v="2025-08-17T00:00:00"/>
        <d v="2025-08-24T00:00:00"/>
        <d v="2025-08-31T00:00:00"/>
        <d v="2025-09-07T00:00:00"/>
        <d v="2025-09-14T00:00:00"/>
        <d v="2025-09-21T00:00:00"/>
        <d v="2025-09-28T00:00:00"/>
        <d v="2025-10-05T00:00:00"/>
        <d v="2025-10-12T00:00:00"/>
        <d v="2025-10-19T00:00:00"/>
        <d v="2025-10-26T00:00:00"/>
        <d v="2025-11-02T00:00:00"/>
        <d v="2025-11-09T00:00:00"/>
        <d v="2025-11-16T00:00:00"/>
        <d v="2025-11-23T00:00:00"/>
        <d v="2025-11-30T00:00:00"/>
        <d v="2025-12-07T00:00:00"/>
        <d v="2025-12-14T00:00:00"/>
      </sharedItems>
      <fieldGroup par="13"/>
    </cacheField>
    <cacheField name="product_id" numFmtId="0">
      <sharedItems/>
    </cacheField>
    <cacheField name="product_name" numFmtId="0">
      <sharedItems count="46">
        <s v="Laptop"/>
        <s v="Smartphone"/>
        <s v="Office Chair"/>
        <s v="Dining Table"/>
        <s v="Printer"/>
        <s v="Mixer"/>
        <s v="Air Conditioner"/>
        <s v="Microwave"/>
        <s v="Shoes"/>
        <s v="Backpack"/>
        <s v="Tablet"/>
        <s v="Sofa"/>
        <s v="Study Table"/>
        <s v="Washing Machine"/>
        <s v="Refrigerator"/>
        <s v="Headphones"/>
        <s v="Smart Watch"/>
        <s v="T-Shirt"/>
        <s v="Jeans"/>
        <s v="Keyboard"/>
        <s v="Mouse"/>
        <s v="Office Desk"/>
        <s v="Bookshelf"/>
        <s v="Ceiling Fan"/>
        <s v="Cooler"/>
        <s v="Television"/>
        <s v="Jacket"/>
        <s v="Sandals"/>
        <s v="Dining Chair"/>
        <s v="Coffee Table"/>
        <s v="Induction Stove"/>
        <s v="Water Purifier"/>
        <s v="Vacuum Cleaner"/>
        <s v="Bluetooth Speaker"/>
        <s v="Hoodie"/>
        <s v="Cap"/>
        <s v="Camera"/>
        <s v="Monitor"/>
        <s v="Router"/>
        <s v="Power Bank"/>
        <s v="Air Fryer"/>
        <s v="Wardrobe"/>
        <s v="Gaming Mouse"/>
        <s v="Desk Lamp"/>
        <s v="Sneakers"/>
        <s v="Office Cabinet"/>
      </sharedItems>
    </cacheField>
    <cacheField name="category" numFmtId="0">
      <sharedItems count="4">
        <s v="Electronics"/>
        <s v="Furniture"/>
        <s v="Home Appliances"/>
        <s v="Fashion"/>
      </sharedItems>
    </cacheField>
    <cacheField name="city" numFmtId="0">
      <sharedItems/>
    </cacheField>
    <cacheField name="state" numFmtId="0">
      <sharedItems count="4">
        <s v="Maharashtra"/>
        <s v="Gujarat"/>
        <s v="Rajasthan"/>
        <s v="Karnataka"/>
      </sharedItems>
    </cacheField>
    <cacheField name="quantity" numFmtId="0">
      <sharedItems containsSemiMixedTypes="0" containsString="0" containsNumber="1" containsInteger="1" minValue="4" maxValue="50"/>
    </cacheField>
    <cacheField name="price_per_unit" numFmtId="0">
      <sharedItems containsSemiMixedTypes="0" containsString="0" containsNumber="1" containsInteger="1" minValue="600" maxValue="67000"/>
    </cacheField>
    <cacheField name="discount_in_percentage" numFmtId="0">
      <sharedItems containsSemiMixedTypes="0" containsString="0" containsNumber="1" containsInteger="1" minValue="5" maxValue="25"/>
    </cacheField>
    <cacheField name="total_sales" numFmtId="0">
      <sharedItems containsSemiMixedTypes="0" containsString="0" containsNumber="1" containsInteger="1" minValue="27000" maxValue="938000"/>
    </cacheField>
    <cacheField name="discount_amount" numFmtId="0">
      <sharedItems containsSemiMixedTypes="0" containsString="0" containsNumber="1" containsInteger="1" minValue="5040" maxValue="93800"/>
    </cacheField>
    <cacheField name="net_sales" numFmtId="0">
      <sharedItems containsSemiMixedTypes="0" containsString="0" containsNumber="1" containsInteger="1" minValue="20250" maxValue="844200"/>
    </cacheField>
    <cacheField name="Days (date)" numFmtId="0" databaseField="0">
      <fieldGroup base="0">
        <rangePr groupBy="days" startDate="2025-01-05T00:00:00" endDate="2025-12-15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12-2025"/>
        </groupItems>
      </fieldGroup>
    </cacheField>
    <cacheField name="Months (date)" numFmtId="0" databaseField="0">
      <fieldGroup base="0">
        <rangePr groupBy="months" startDate="2025-01-05T00:00:00" endDate="2025-12-15T00:00:00"/>
        <groupItems count="14">
          <s v="&lt;05-01-2025"/>
          <s v="Jan"/>
          <s v="Feb"/>
          <s v="Mar"/>
          <s v="Apr"/>
          <s v="May"/>
          <s v="Jun"/>
          <s v="Jul"/>
          <s v="Aug"/>
          <s v="Sep"/>
          <s v="Oct"/>
          <s v="Nov"/>
          <s v="Dec"/>
          <s v="&gt;15-12-2025"/>
        </groupItems>
      </fieldGroup>
    </cacheField>
  </cacheFields>
  <extLst>
    <ext xmlns:x14="http://schemas.microsoft.com/office/spreadsheetml/2009/9/main" uri="{725AE2AE-9491-48be-B2B4-4EB974FC3084}">
      <x14:pivotCacheDefinition pivotCacheId="1997435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5-01-05T00:00:00"/>
    <s v="P001"/>
    <s v="Laptop"/>
    <s v="Electronics"/>
    <s v="Mumbai"/>
    <x v="0"/>
    <n v="12"/>
    <n v="65000"/>
    <n v="10"/>
    <n v="58500"/>
    <n v="780000"/>
  </r>
  <r>
    <d v="2025-01-12T00:00:00"/>
    <s v="P002"/>
    <s v="Smartphone"/>
    <s v="Electronics"/>
    <s v="Pune"/>
    <x v="0"/>
    <n v="25"/>
    <n v="28000"/>
    <n v="8"/>
    <n v="25760"/>
    <n v="700000"/>
  </r>
  <r>
    <d v="2025-01-19T00:00:00"/>
    <s v="P003"/>
    <s v="Office Chair"/>
    <s v="Furniture"/>
    <s v="Nagpur"/>
    <x v="0"/>
    <n v="18"/>
    <n v="5500"/>
    <n v="12"/>
    <n v="4840"/>
    <n v="99000"/>
  </r>
  <r>
    <d v="2025-01-26T00:00:00"/>
    <s v="P004"/>
    <s v="Dining Table"/>
    <s v="Furniture"/>
    <s v="Nashik"/>
    <x v="0"/>
    <n v="8"/>
    <n v="18000"/>
    <n v="15"/>
    <n v="15300"/>
    <n v="144000"/>
  </r>
  <r>
    <d v="2025-02-02T00:00:00"/>
    <s v="P005"/>
    <s v="Printer"/>
    <s v="Electronics"/>
    <s v="Aurangabad"/>
    <x v="0"/>
    <n v="10"/>
    <n v="12000"/>
    <n v="5"/>
    <n v="11400"/>
    <n v="120000"/>
  </r>
  <r>
    <d v="2025-02-09T00:00:00"/>
    <s v="P006"/>
    <s v="Mixer"/>
    <s v="Home Appliances"/>
    <s v="Kolhapur"/>
    <x v="0"/>
    <n v="20"/>
    <n v="3500"/>
    <n v="18"/>
    <n v="2870"/>
    <n v="70000"/>
  </r>
  <r>
    <d v="2025-02-16T00:00:00"/>
    <s v="P007"/>
    <s v="Air Conditioner"/>
    <s v="Home Appliances"/>
    <s v="Solapur"/>
    <x v="0"/>
    <n v="6"/>
    <n v="42000"/>
    <n v="10"/>
    <n v="37800"/>
    <n v="252000"/>
  </r>
  <r>
    <d v="2025-02-23T00:00:00"/>
    <s v="P008"/>
    <s v="Microwave"/>
    <s v="Home Appliances"/>
    <s v="Thane"/>
    <x v="0"/>
    <n v="14"/>
    <n v="9500"/>
    <n v="12"/>
    <n v="8360"/>
    <n v="133000"/>
  </r>
  <r>
    <d v="2025-03-02T00:00:00"/>
    <s v="P009"/>
    <s v="Shoes"/>
    <s v="Fashion"/>
    <s v="Mumbai"/>
    <x v="0"/>
    <n v="35"/>
    <n v="2200"/>
    <n v="20"/>
    <n v="1760"/>
    <n v="77000"/>
  </r>
  <r>
    <d v="2025-03-09T00:00:00"/>
    <s v="P010"/>
    <s v="Backpack"/>
    <s v="Fashion"/>
    <s v="Pune"/>
    <x v="0"/>
    <n v="28"/>
    <n v="1800"/>
    <n v="15"/>
    <n v="1530"/>
    <n v="50400"/>
  </r>
  <r>
    <d v="2025-03-16T00:00:00"/>
    <s v="P011"/>
    <s v="Laptop"/>
    <s v="Electronics"/>
    <s v="Ahmedabad"/>
    <x v="1"/>
    <n v="10"/>
    <n v="62000"/>
    <n v="9"/>
    <n v="56420"/>
    <n v="620000"/>
  </r>
  <r>
    <d v="2025-03-23T00:00:00"/>
    <s v="P012"/>
    <s v="Tablet"/>
    <s v="Electronics"/>
    <s v="Surat"/>
    <x v="1"/>
    <n v="16"/>
    <n v="24000"/>
    <n v="10"/>
    <n v="21600"/>
    <n v="384000"/>
  </r>
  <r>
    <d v="2025-03-30T00:00:00"/>
    <s v="P013"/>
    <s v="Sofa"/>
    <s v="Furniture"/>
    <s v="Vadodara"/>
    <x v="1"/>
    <n v="5"/>
    <n v="28000"/>
    <n v="12"/>
    <n v="24640"/>
    <n v="140000"/>
  </r>
  <r>
    <d v="2025-04-06T00:00:00"/>
    <s v="P014"/>
    <s v="Study Table"/>
    <s v="Furniture"/>
    <s v="Rajkot"/>
    <x v="1"/>
    <n v="15"/>
    <n v="7000"/>
    <n v="8"/>
    <n v="6440"/>
    <n v="105000"/>
  </r>
  <r>
    <d v="2025-04-13T00:00:00"/>
    <s v="P015"/>
    <s v="Washing Machine"/>
    <s v="Home Appliances"/>
    <s v="Bhavnagar"/>
    <x v="1"/>
    <n v="7"/>
    <n v="26000"/>
    <n v="10"/>
    <n v="23400"/>
    <n v="182000"/>
  </r>
  <r>
    <d v="2025-04-20T00:00:00"/>
    <s v="P016"/>
    <s v="Refrigerator"/>
    <s v="Home Appliances"/>
    <s v="Jamnagar"/>
    <x v="1"/>
    <n v="9"/>
    <n v="33000"/>
    <n v="11"/>
    <n v="29370"/>
    <n v="297000"/>
  </r>
  <r>
    <d v="2025-04-27T00:00:00"/>
    <s v="P017"/>
    <s v="Headphones"/>
    <s v="Electronics"/>
    <s v="Gandhinagar"/>
    <x v="1"/>
    <n v="40"/>
    <n v="2500"/>
    <n v="18"/>
    <n v="2050"/>
    <n v="100000"/>
  </r>
  <r>
    <d v="2025-05-04T00:00:00"/>
    <s v="P018"/>
    <s v="Smart Watch"/>
    <s v="Electronics"/>
    <s v="Anand"/>
    <x v="1"/>
    <n v="22"/>
    <n v="9000"/>
    <n v="15"/>
    <n v="7650"/>
    <n v="198000"/>
  </r>
  <r>
    <d v="2025-05-11T00:00:00"/>
    <s v="P019"/>
    <s v="T-Shirt"/>
    <s v="Fashion"/>
    <s v="Ahmedabad"/>
    <x v="1"/>
    <n v="50"/>
    <n v="800"/>
    <n v="25"/>
    <n v="600"/>
    <n v="40000"/>
  </r>
  <r>
    <d v="2025-05-18T00:00:00"/>
    <s v="P020"/>
    <s v="Jeans"/>
    <s v="Fashion"/>
    <s v="Surat"/>
    <x v="1"/>
    <n v="30"/>
    <n v="1800"/>
    <n v="20"/>
    <n v="1440"/>
    <n v="54000"/>
  </r>
  <r>
    <d v="2025-05-25T00:00:00"/>
    <s v="P021"/>
    <s v="Laptop"/>
    <s v="Electronics"/>
    <s v="Jaipur"/>
    <x v="2"/>
    <n v="11"/>
    <n v="64000"/>
    <n v="8"/>
    <n v="58880"/>
    <n v="704000"/>
  </r>
  <r>
    <d v="2025-06-01T00:00:00"/>
    <s v="P022"/>
    <s v="Keyboard"/>
    <s v="Electronics"/>
    <s v="Jodhpur"/>
    <x v="2"/>
    <n v="32"/>
    <n v="1200"/>
    <n v="15"/>
    <n v="1020"/>
    <n v="38400"/>
  </r>
  <r>
    <d v="2025-06-08T00:00:00"/>
    <s v="P023"/>
    <s v="Mouse"/>
    <s v="Electronics"/>
    <s v="Udaipur"/>
    <x v="2"/>
    <n v="40"/>
    <n v="800"/>
    <n v="18"/>
    <n v="656"/>
    <n v="32000"/>
  </r>
  <r>
    <d v="2025-06-15T00:00:00"/>
    <s v="P024"/>
    <s v="Office Desk"/>
    <s v="Furniture"/>
    <s v="Kota"/>
    <x v="2"/>
    <n v="10"/>
    <n v="9500"/>
    <n v="10"/>
    <n v="8550"/>
    <n v="95000"/>
  </r>
  <r>
    <d v="2025-06-22T00:00:00"/>
    <s v="P025"/>
    <s v="Bookshelf"/>
    <s v="Furniture"/>
    <s v="Ajmer"/>
    <x v="2"/>
    <n v="13"/>
    <n v="6500"/>
    <n v="12"/>
    <n v="5720"/>
    <n v="84500"/>
  </r>
  <r>
    <d v="2025-06-29T00:00:00"/>
    <s v="P026"/>
    <s v="Ceiling Fan"/>
    <s v="Home Appliances"/>
    <s v="Bikaner"/>
    <x v="2"/>
    <n v="18"/>
    <n v="2800"/>
    <n v="10"/>
    <n v="2520"/>
    <n v="50400"/>
  </r>
  <r>
    <d v="2025-07-06T00:00:00"/>
    <s v="P027"/>
    <s v="Cooler"/>
    <s v="Home Appliances"/>
    <s v="Alwar"/>
    <x v="2"/>
    <n v="12"/>
    <n v="8500"/>
    <n v="15"/>
    <n v="7225"/>
    <n v="102000"/>
  </r>
  <r>
    <d v="2025-07-13T00:00:00"/>
    <s v="P028"/>
    <s v="Television"/>
    <s v="Electronics"/>
    <s v="Bharatpur"/>
    <x v="2"/>
    <n v="8"/>
    <n v="38000"/>
    <n v="7"/>
    <n v="35340"/>
    <n v="304000"/>
  </r>
  <r>
    <d v="2025-07-20T00:00:00"/>
    <s v="P029"/>
    <s v="Jacket"/>
    <s v="Fashion"/>
    <s v="Jaipur"/>
    <x v="2"/>
    <n v="24"/>
    <n v="3200"/>
    <n v="20"/>
    <n v="2560"/>
    <n v="76800"/>
  </r>
  <r>
    <d v="2025-07-27T00:00:00"/>
    <s v="P030"/>
    <s v="Sandals"/>
    <s v="Fashion"/>
    <s v="Udaipur"/>
    <x v="2"/>
    <n v="30"/>
    <n v="1500"/>
    <n v="18"/>
    <n v="1230"/>
    <n v="45000"/>
  </r>
  <r>
    <d v="2025-08-03T00:00:00"/>
    <s v="P031"/>
    <s v="Laptop"/>
    <s v="Electronics"/>
    <s v="Bengaluru"/>
    <x v="3"/>
    <n v="14"/>
    <n v="67000"/>
    <n v="10"/>
    <n v="60300"/>
    <n v="938000"/>
  </r>
  <r>
    <d v="2025-08-10T00:00:00"/>
    <s v="P032"/>
    <s v="Smartphone"/>
    <s v="Electronics"/>
    <s v="Mysuru"/>
    <x v="3"/>
    <n v="26"/>
    <n v="30000"/>
    <n v="9"/>
    <n v="27300"/>
    <n v="780000"/>
  </r>
  <r>
    <d v="2025-08-17T00:00:00"/>
    <s v="P033"/>
    <s v="Dining Chair"/>
    <s v="Furniture"/>
    <s v="Mangaluru"/>
    <x v="3"/>
    <n v="20"/>
    <n v="4200"/>
    <n v="14"/>
    <n v="3612"/>
    <n v="84000"/>
  </r>
  <r>
    <d v="2025-08-24T00:00:00"/>
    <s v="P034"/>
    <s v="Coffee Table"/>
    <s v="Furniture"/>
    <s v="Hubballi"/>
    <x v="3"/>
    <n v="11"/>
    <n v="7800"/>
    <n v="10"/>
    <n v="7020"/>
    <n v="85800"/>
  </r>
  <r>
    <d v="2025-08-31T00:00:00"/>
    <s v="P035"/>
    <s v="Induction Stove"/>
    <s v="Home Appliances"/>
    <s v="Belagavi"/>
    <x v="3"/>
    <n v="15"/>
    <n v="3500"/>
    <n v="12"/>
    <n v="3080"/>
    <n v="52500"/>
  </r>
  <r>
    <d v="2025-09-07T00:00:00"/>
    <s v="P036"/>
    <s v="Water Purifier"/>
    <s v="Home Appliances"/>
    <s v="Shivamogga"/>
    <x v="3"/>
    <n v="9"/>
    <n v="14500"/>
    <n v="10"/>
    <n v="13050"/>
    <n v="130500"/>
  </r>
  <r>
    <d v="2025-09-14T00:00:00"/>
    <s v="P037"/>
    <s v="Vacuum Cleaner"/>
    <s v="Home Appliances"/>
    <s v="Davanagere"/>
    <x v="3"/>
    <n v="7"/>
    <n v="12000"/>
    <n v="15"/>
    <n v="10200"/>
    <n v="84000"/>
  </r>
  <r>
    <d v="2025-09-21T00:00:00"/>
    <s v="P038"/>
    <s v="Bluetooth Speaker"/>
    <s v="Electronics"/>
    <s v="Ballari"/>
    <x v="3"/>
    <n v="28"/>
    <n v="4500"/>
    <n v="18"/>
    <n v="3690"/>
    <n v="126000"/>
  </r>
  <r>
    <d v="2025-09-28T00:00:00"/>
    <s v="P039"/>
    <s v="Hoodie"/>
    <s v="Fashion"/>
    <s v="Bengaluru"/>
    <x v="3"/>
    <n v="34"/>
    <n v="2200"/>
    <n v="20"/>
    <n v="1760"/>
    <n v="74800"/>
  </r>
  <r>
    <d v="2025-10-05T00:00:00"/>
    <s v="P040"/>
    <s v="Cap"/>
    <s v="Fashion"/>
    <s v="Mysuru"/>
    <x v="3"/>
    <n v="45"/>
    <n v="600"/>
    <n v="25"/>
    <n v="450"/>
    <n v="27000"/>
  </r>
  <r>
    <d v="2025-10-12T00:00:00"/>
    <s v="P041"/>
    <s v="Camera"/>
    <s v="Electronics"/>
    <s v="Mumbai"/>
    <x v="0"/>
    <n v="6"/>
    <n v="52000"/>
    <n v="8"/>
    <n v="47840"/>
    <n v="312000"/>
  </r>
  <r>
    <d v="2025-10-19T00:00:00"/>
    <s v="P042"/>
    <s v="Monitor"/>
    <s v="Electronics"/>
    <s v="Ahmedabad"/>
    <x v="1"/>
    <n v="17"/>
    <n v="14500"/>
    <n v="10"/>
    <n v="13050"/>
    <n v="246500"/>
  </r>
  <r>
    <d v="2025-10-26T00:00:00"/>
    <s v="P043"/>
    <s v="Router"/>
    <s v="Electronics"/>
    <s v="Jodhpur"/>
    <x v="2"/>
    <n v="22"/>
    <n v="2800"/>
    <n v="12"/>
    <n v="2464"/>
    <n v="61600"/>
  </r>
  <r>
    <d v="2025-11-02T00:00:00"/>
    <s v="P044"/>
    <s v="Power Bank"/>
    <s v="Electronics"/>
    <s v="Bengaluru"/>
    <x v="3"/>
    <n v="36"/>
    <n v="1800"/>
    <n v="15"/>
    <n v="1530"/>
    <n v="64800"/>
  </r>
  <r>
    <d v="2025-11-09T00:00:00"/>
    <s v="P045"/>
    <s v="Air Fryer"/>
    <s v="Home Appliances"/>
    <s v="Pune"/>
    <x v="0"/>
    <n v="10"/>
    <n v="8500"/>
    <n v="18"/>
    <n v="6970"/>
    <n v="85000"/>
  </r>
  <r>
    <d v="2025-11-16T00:00:00"/>
    <s v="P046"/>
    <s v="Wardrobe"/>
    <s v="Furniture"/>
    <s v="Surat"/>
    <x v="1"/>
    <n v="4"/>
    <n v="32000"/>
    <n v="10"/>
    <n v="28800"/>
    <n v="128000"/>
  </r>
  <r>
    <d v="2025-11-23T00:00:00"/>
    <s v="P047"/>
    <s v="Gaming Mouse"/>
    <s v="Electronics"/>
    <s v="Jodhpur"/>
    <x v="2"/>
    <n v="18"/>
    <n v="2500"/>
    <n v="12"/>
    <n v="2200"/>
    <n v="45000"/>
  </r>
  <r>
    <d v="2025-11-30T00:00:00"/>
    <s v="P048"/>
    <s v="Desk Lamp"/>
    <s v="Home Appliances"/>
    <s v="Mangaluru"/>
    <x v="3"/>
    <n v="27"/>
    <n v="1200"/>
    <n v="20"/>
    <n v="960"/>
    <n v="32400"/>
  </r>
  <r>
    <d v="2025-12-07T00:00:00"/>
    <s v="P049"/>
    <s v="Sneakers"/>
    <s v="Fashion"/>
    <s v="Nagpur"/>
    <x v="0"/>
    <n v="21"/>
    <n v="2800"/>
    <n v="15"/>
    <n v="2380"/>
    <n v="58800"/>
  </r>
  <r>
    <d v="2025-12-14T00:00:00"/>
    <s v="P050"/>
    <s v="Office Cabinet"/>
    <s v="Furniture"/>
    <s v="Vadodara"/>
    <x v="1"/>
    <n v="8"/>
    <n v="15000"/>
    <n v="10"/>
    <n v="13500"/>
    <n v="12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P001"/>
    <x v="0"/>
    <x v="0"/>
    <s v="Mumbai"/>
    <x v="0"/>
    <n v="12"/>
    <n v="65000"/>
    <n v="10"/>
    <n v="780000"/>
    <n v="78000"/>
    <n v="702000"/>
  </r>
  <r>
    <x v="1"/>
    <s v="P002"/>
    <x v="1"/>
    <x v="0"/>
    <s v="Pune"/>
    <x v="0"/>
    <n v="25"/>
    <n v="28000"/>
    <n v="8"/>
    <n v="700000"/>
    <n v="56000"/>
    <n v="644000"/>
  </r>
  <r>
    <x v="2"/>
    <s v="P003"/>
    <x v="2"/>
    <x v="1"/>
    <s v="Nagpur"/>
    <x v="0"/>
    <n v="18"/>
    <n v="5500"/>
    <n v="12"/>
    <n v="99000"/>
    <n v="11880"/>
    <n v="87120"/>
  </r>
  <r>
    <x v="3"/>
    <s v="P004"/>
    <x v="3"/>
    <x v="1"/>
    <s v="Nashik"/>
    <x v="0"/>
    <n v="8"/>
    <n v="18000"/>
    <n v="15"/>
    <n v="144000"/>
    <n v="21600"/>
    <n v="122400"/>
  </r>
  <r>
    <x v="4"/>
    <s v="P005"/>
    <x v="4"/>
    <x v="0"/>
    <s v="Aurangabad"/>
    <x v="0"/>
    <n v="10"/>
    <n v="12000"/>
    <n v="5"/>
    <n v="120000"/>
    <n v="6000"/>
    <n v="114000"/>
  </r>
  <r>
    <x v="5"/>
    <s v="P006"/>
    <x v="5"/>
    <x v="2"/>
    <s v="Kolhapur"/>
    <x v="0"/>
    <n v="20"/>
    <n v="3500"/>
    <n v="18"/>
    <n v="70000"/>
    <n v="12600"/>
    <n v="57400"/>
  </r>
  <r>
    <x v="6"/>
    <s v="P007"/>
    <x v="6"/>
    <x v="2"/>
    <s v="Solapur"/>
    <x v="0"/>
    <n v="6"/>
    <n v="42000"/>
    <n v="10"/>
    <n v="252000"/>
    <n v="25200"/>
    <n v="226800"/>
  </r>
  <r>
    <x v="7"/>
    <s v="P008"/>
    <x v="7"/>
    <x v="2"/>
    <s v="Thane"/>
    <x v="0"/>
    <n v="14"/>
    <n v="9500"/>
    <n v="12"/>
    <n v="133000"/>
    <n v="15960"/>
    <n v="117040"/>
  </r>
  <r>
    <x v="8"/>
    <s v="P009"/>
    <x v="8"/>
    <x v="3"/>
    <s v="Mumbai"/>
    <x v="0"/>
    <n v="35"/>
    <n v="2200"/>
    <n v="20"/>
    <n v="77000"/>
    <n v="15400"/>
    <n v="61600"/>
  </r>
  <r>
    <x v="9"/>
    <s v="P010"/>
    <x v="9"/>
    <x v="3"/>
    <s v="Pune"/>
    <x v="0"/>
    <n v="28"/>
    <n v="1800"/>
    <n v="15"/>
    <n v="50400"/>
    <n v="7560"/>
    <n v="42840"/>
  </r>
  <r>
    <x v="10"/>
    <s v="P011"/>
    <x v="0"/>
    <x v="0"/>
    <s v="Ahmedabad"/>
    <x v="1"/>
    <n v="10"/>
    <n v="62000"/>
    <n v="9"/>
    <n v="620000"/>
    <n v="55800"/>
    <n v="564200"/>
  </r>
  <r>
    <x v="11"/>
    <s v="P012"/>
    <x v="10"/>
    <x v="0"/>
    <s v="Surat"/>
    <x v="1"/>
    <n v="16"/>
    <n v="24000"/>
    <n v="10"/>
    <n v="384000"/>
    <n v="38400"/>
    <n v="345600"/>
  </r>
  <r>
    <x v="12"/>
    <s v="P013"/>
    <x v="11"/>
    <x v="1"/>
    <s v="Vadodara"/>
    <x v="1"/>
    <n v="5"/>
    <n v="28000"/>
    <n v="12"/>
    <n v="140000"/>
    <n v="16800"/>
    <n v="123200"/>
  </r>
  <r>
    <x v="13"/>
    <s v="P014"/>
    <x v="12"/>
    <x v="1"/>
    <s v="Rajkot"/>
    <x v="1"/>
    <n v="15"/>
    <n v="7000"/>
    <n v="8"/>
    <n v="105000"/>
    <n v="8400"/>
    <n v="96600"/>
  </r>
  <r>
    <x v="14"/>
    <s v="P015"/>
    <x v="13"/>
    <x v="2"/>
    <s v="Bhavnagar"/>
    <x v="1"/>
    <n v="7"/>
    <n v="26000"/>
    <n v="10"/>
    <n v="182000"/>
    <n v="18200"/>
    <n v="163800"/>
  </r>
  <r>
    <x v="15"/>
    <s v="P016"/>
    <x v="14"/>
    <x v="2"/>
    <s v="Jamnagar"/>
    <x v="1"/>
    <n v="9"/>
    <n v="33000"/>
    <n v="11"/>
    <n v="297000"/>
    <n v="32670"/>
    <n v="264330"/>
  </r>
  <r>
    <x v="16"/>
    <s v="P017"/>
    <x v="15"/>
    <x v="0"/>
    <s v="Gandhinagar"/>
    <x v="1"/>
    <n v="40"/>
    <n v="2500"/>
    <n v="18"/>
    <n v="100000"/>
    <n v="18000"/>
    <n v="82000"/>
  </r>
  <r>
    <x v="17"/>
    <s v="P018"/>
    <x v="16"/>
    <x v="0"/>
    <s v="Anand"/>
    <x v="1"/>
    <n v="22"/>
    <n v="9000"/>
    <n v="15"/>
    <n v="198000"/>
    <n v="29700"/>
    <n v="168300"/>
  </r>
  <r>
    <x v="18"/>
    <s v="P019"/>
    <x v="17"/>
    <x v="3"/>
    <s v="Ahmedabad"/>
    <x v="1"/>
    <n v="50"/>
    <n v="800"/>
    <n v="25"/>
    <n v="40000"/>
    <n v="10000"/>
    <n v="30000"/>
  </r>
  <r>
    <x v="19"/>
    <s v="P020"/>
    <x v="18"/>
    <x v="3"/>
    <s v="Surat"/>
    <x v="1"/>
    <n v="30"/>
    <n v="1800"/>
    <n v="20"/>
    <n v="54000"/>
    <n v="10800"/>
    <n v="43200"/>
  </r>
  <r>
    <x v="20"/>
    <s v="P021"/>
    <x v="0"/>
    <x v="0"/>
    <s v="Jaipur"/>
    <x v="2"/>
    <n v="11"/>
    <n v="64000"/>
    <n v="8"/>
    <n v="704000"/>
    <n v="56320"/>
    <n v="647680"/>
  </r>
  <r>
    <x v="21"/>
    <s v="P022"/>
    <x v="19"/>
    <x v="0"/>
    <s v="Jodhpur"/>
    <x v="2"/>
    <n v="32"/>
    <n v="1200"/>
    <n v="15"/>
    <n v="38400"/>
    <n v="5760"/>
    <n v="32640"/>
  </r>
  <r>
    <x v="22"/>
    <s v="P023"/>
    <x v="20"/>
    <x v="0"/>
    <s v="Udaipur"/>
    <x v="2"/>
    <n v="40"/>
    <n v="800"/>
    <n v="18"/>
    <n v="32000"/>
    <n v="5760"/>
    <n v="26240"/>
  </r>
  <r>
    <x v="23"/>
    <s v="P024"/>
    <x v="21"/>
    <x v="1"/>
    <s v="Kota"/>
    <x v="2"/>
    <n v="10"/>
    <n v="9500"/>
    <n v="10"/>
    <n v="95000"/>
    <n v="9500"/>
    <n v="85500"/>
  </r>
  <r>
    <x v="24"/>
    <s v="P025"/>
    <x v="22"/>
    <x v="1"/>
    <s v="Ajmer"/>
    <x v="2"/>
    <n v="13"/>
    <n v="6500"/>
    <n v="12"/>
    <n v="84500"/>
    <n v="10140"/>
    <n v="74360"/>
  </r>
  <r>
    <x v="25"/>
    <s v="P026"/>
    <x v="23"/>
    <x v="2"/>
    <s v="Bikaner"/>
    <x v="2"/>
    <n v="18"/>
    <n v="2800"/>
    <n v="10"/>
    <n v="50400"/>
    <n v="5040"/>
    <n v="45360"/>
  </r>
  <r>
    <x v="26"/>
    <s v="P027"/>
    <x v="24"/>
    <x v="2"/>
    <s v="Alwar"/>
    <x v="2"/>
    <n v="12"/>
    <n v="8500"/>
    <n v="15"/>
    <n v="102000"/>
    <n v="15300"/>
    <n v="86700"/>
  </r>
  <r>
    <x v="27"/>
    <s v="P028"/>
    <x v="25"/>
    <x v="0"/>
    <s v="Bharatpur"/>
    <x v="2"/>
    <n v="8"/>
    <n v="38000"/>
    <n v="7"/>
    <n v="304000"/>
    <n v="21280"/>
    <n v="282720"/>
  </r>
  <r>
    <x v="28"/>
    <s v="P029"/>
    <x v="26"/>
    <x v="3"/>
    <s v="Jaipur"/>
    <x v="2"/>
    <n v="24"/>
    <n v="3200"/>
    <n v="20"/>
    <n v="76800"/>
    <n v="15360"/>
    <n v="61440"/>
  </r>
  <r>
    <x v="29"/>
    <s v="P030"/>
    <x v="27"/>
    <x v="3"/>
    <s v="Udaipur"/>
    <x v="2"/>
    <n v="30"/>
    <n v="1500"/>
    <n v="18"/>
    <n v="45000"/>
    <n v="8100"/>
    <n v="36900"/>
  </r>
  <r>
    <x v="30"/>
    <s v="P031"/>
    <x v="0"/>
    <x v="0"/>
    <s v="Bengaluru"/>
    <x v="3"/>
    <n v="14"/>
    <n v="67000"/>
    <n v="10"/>
    <n v="938000"/>
    <n v="93800"/>
    <n v="844200"/>
  </r>
  <r>
    <x v="31"/>
    <s v="P032"/>
    <x v="1"/>
    <x v="0"/>
    <s v="Mysuru"/>
    <x v="3"/>
    <n v="26"/>
    <n v="30000"/>
    <n v="9"/>
    <n v="780000"/>
    <n v="70200"/>
    <n v="709800"/>
  </r>
  <r>
    <x v="32"/>
    <s v="P033"/>
    <x v="28"/>
    <x v="1"/>
    <s v="Mangaluru"/>
    <x v="3"/>
    <n v="20"/>
    <n v="4200"/>
    <n v="14"/>
    <n v="84000"/>
    <n v="11760"/>
    <n v="72240"/>
  </r>
  <r>
    <x v="33"/>
    <s v="P034"/>
    <x v="29"/>
    <x v="1"/>
    <s v="Hubballi"/>
    <x v="3"/>
    <n v="11"/>
    <n v="7800"/>
    <n v="10"/>
    <n v="85800"/>
    <n v="8580"/>
    <n v="77220"/>
  </r>
  <r>
    <x v="34"/>
    <s v="P035"/>
    <x v="30"/>
    <x v="2"/>
    <s v="Belagavi"/>
    <x v="3"/>
    <n v="15"/>
    <n v="3500"/>
    <n v="12"/>
    <n v="52500"/>
    <n v="6300"/>
    <n v="46200"/>
  </r>
  <r>
    <x v="35"/>
    <s v="P036"/>
    <x v="31"/>
    <x v="2"/>
    <s v="Shivamogga"/>
    <x v="3"/>
    <n v="9"/>
    <n v="14500"/>
    <n v="10"/>
    <n v="130500"/>
    <n v="13050"/>
    <n v="117450"/>
  </r>
  <r>
    <x v="36"/>
    <s v="P037"/>
    <x v="32"/>
    <x v="2"/>
    <s v="Davanagere"/>
    <x v="3"/>
    <n v="7"/>
    <n v="12000"/>
    <n v="15"/>
    <n v="84000"/>
    <n v="12600"/>
    <n v="71400"/>
  </r>
  <r>
    <x v="37"/>
    <s v="P038"/>
    <x v="33"/>
    <x v="0"/>
    <s v="Ballari"/>
    <x v="3"/>
    <n v="28"/>
    <n v="4500"/>
    <n v="18"/>
    <n v="126000"/>
    <n v="22680"/>
    <n v="103320"/>
  </r>
  <r>
    <x v="38"/>
    <s v="P039"/>
    <x v="34"/>
    <x v="3"/>
    <s v="Bengaluru"/>
    <x v="3"/>
    <n v="34"/>
    <n v="2200"/>
    <n v="20"/>
    <n v="74800"/>
    <n v="14960"/>
    <n v="59840"/>
  </r>
  <r>
    <x v="39"/>
    <s v="P040"/>
    <x v="35"/>
    <x v="3"/>
    <s v="Mysuru"/>
    <x v="3"/>
    <n v="45"/>
    <n v="600"/>
    <n v="25"/>
    <n v="27000"/>
    <n v="6750"/>
    <n v="20250"/>
  </r>
  <r>
    <x v="40"/>
    <s v="P041"/>
    <x v="36"/>
    <x v="0"/>
    <s v="Mumbai"/>
    <x v="0"/>
    <n v="6"/>
    <n v="52000"/>
    <n v="8"/>
    <n v="312000"/>
    <n v="24960"/>
    <n v="287040"/>
  </r>
  <r>
    <x v="41"/>
    <s v="P042"/>
    <x v="37"/>
    <x v="0"/>
    <s v="Ahmedabad"/>
    <x v="1"/>
    <n v="17"/>
    <n v="14500"/>
    <n v="10"/>
    <n v="246500"/>
    <n v="24650"/>
    <n v="221850"/>
  </r>
  <r>
    <x v="42"/>
    <s v="P043"/>
    <x v="38"/>
    <x v="0"/>
    <s v="Jodhpur"/>
    <x v="2"/>
    <n v="22"/>
    <n v="2800"/>
    <n v="12"/>
    <n v="61600"/>
    <n v="7392"/>
    <n v="54208"/>
  </r>
  <r>
    <x v="43"/>
    <s v="P044"/>
    <x v="39"/>
    <x v="0"/>
    <s v="Bengaluru"/>
    <x v="3"/>
    <n v="36"/>
    <n v="1800"/>
    <n v="15"/>
    <n v="64800"/>
    <n v="9720"/>
    <n v="55080"/>
  </r>
  <r>
    <x v="44"/>
    <s v="P045"/>
    <x v="40"/>
    <x v="2"/>
    <s v="Pune"/>
    <x v="0"/>
    <n v="10"/>
    <n v="8500"/>
    <n v="18"/>
    <n v="85000"/>
    <n v="15300"/>
    <n v="69700"/>
  </r>
  <r>
    <x v="45"/>
    <s v="P046"/>
    <x v="41"/>
    <x v="1"/>
    <s v="Surat"/>
    <x v="1"/>
    <n v="4"/>
    <n v="32000"/>
    <n v="10"/>
    <n v="128000"/>
    <n v="12800"/>
    <n v="115200"/>
  </r>
  <r>
    <x v="46"/>
    <s v="P047"/>
    <x v="42"/>
    <x v="0"/>
    <s v="Jodhpur"/>
    <x v="2"/>
    <n v="18"/>
    <n v="2500"/>
    <n v="12"/>
    <n v="45000"/>
    <n v="5400"/>
    <n v="39600"/>
  </r>
  <r>
    <x v="47"/>
    <s v="P048"/>
    <x v="43"/>
    <x v="2"/>
    <s v="Mangaluru"/>
    <x v="3"/>
    <n v="27"/>
    <n v="1200"/>
    <n v="20"/>
    <n v="32400"/>
    <n v="6480"/>
    <n v="25920"/>
  </r>
  <r>
    <x v="48"/>
    <s v="P049"/>
    <x v="44"/>
    <x v="3"/>
    <s v="Nagpur"/>
    <x v="0"/>
    <n v="21"/>
    <n v="2800"/>
    <n v="15"/>
    <n v="58800"/>
    <n v="8820"/>
    <n v="49980"/>
  </r>
  <r>
    <x v="49"/>
    <s v="P050"/>
    <x v="45"/>
    <x v="1"/>
    <s v="Vadodara"/>
    <x v="1"/>
    <n v="8"/>
    <n v="15000"/>
    <n v="10"/>
    <n v="120000"/>
    <n v="12000"/>
    <n v="10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44B5C1-623C-4803-B482-7A0ADEBBE7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1">
    <pivotField numFmtId="164" showAll="0"/>
    <pivotField showAll="0"/>
    <pivotField showAll="0"/>
    <pivotField showAll="0"/>
    <pivotField showAll="0"/>
    <pivotField axis="axisRow" showAll="0">
      <items count="5">
        <item x="1"/>
        <item x="3"/>
        <item x="0"/>
        <item x="2"/>
        <item t="default"/>
      </items>
    </pivotField>
    <pivotField showAll="0"/>
    <pivotField showAll="0"/>
    <pivotField showAll="0"/>
    <pivotField showAll="0"/>
    <pivotField dataField="1" showAll="0"/>
  </pivotFields>
  <rowFields count="1">
    <field x="5"/>
  </rowFields>
  <rowItems count="5">
    <i>
      <x/>
    </i>
    <i>
      <x v="1"/>
    </i>
    <i>
      <x v="2"/>
    </i>
    <i>
      <x v="3"/>
    </i>
    <i t="grand">
      <x/>
    </i>
  </rowItems>
  <colItems count="1">
    <i/>
  </colItems>
  <dataFields count="1">
    <dataField name="Sum of sales" fld="10"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354FD4-1321-48D2-89DE-1B1A75A963E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8" firstHeaderRow="1" firstDataRow="1" firstDataCol="1"/>
  <pivotFields count="14">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items count="5">
        <item x="0"/>
        <item x="3"/>
        <item x="1"/>
        <item x="2"/>
        <item t="default"/>
      </items>
    </pivotField>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net_sales" fld="1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C74289-AE63-4A60-8EC0-1DFD970CBE9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3:B16" firstHeaderRow="1" firstDataRow="1" firstDataCol="1"/>
  <pivotFields count="14">
    <pivotField axis="axisRow"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0"/>
  </rowFields>
  <rowItems count="13">
    <i>
      <x v="1"/>
    </i>
    <i>
      <x v="2"/>
    </i>
    <i>
      <x v="3"/>
    </i>
    <i>
      <x v="4"/>
    </i>
    <i>
      <x v="5"/>
    </i>
    <i>
      <x v="6"/>
    </i>
    <i>
      <x v="7"/>
    </i>
    <i>
      <x v="8"/>
    </i>
    <i>
      <x v="9"/>
    </i>
    <i>
      <x v="10"/>
    </i>
    <i>
      <x v="11"/>
    </i>
    <i>
      <x v="12"/>
    </i>
    <i t="grand">
      <x/>
    </i>
  </rowItems>
  <colItems count="1">
    <i/>
  </colItems>
  <dataFields count="1">
    <dataField name="Sum of net_sales" fld="11" baseField="0" baseItem="0"/>
  </dataField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5D68A3-DE04-4822-AA7F-EE3E39F3A8D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5:I26" firstHeaderRow="1" firstDataRow="1" firstDataCol="1"/>
  <pivotFields count="14">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measureFilter="1" sortType="ascending">
      <items count="47">
        <item x="6"/>
        <item x="40"/>
        <item x="9"/>
        <item x="33"/>
        <item x="22"/>
        <item x="36"/>
        <item x="35"/>
        <item x="23"/>
        <item x="29"/>
        <item x="24"/>
        <item x="43"/>
        <item x="28"/>
        <item x="3"/>
        <item x="42"/>
        <item x="15"/>
        <item x="34"/>
        <item x="30"/>
        <item x="26"/>
        <item x="18"/>
        <item x="19"/>
        <item x="0"/>
        <item x="7"/>
        <item x="5"/>
        <item x="37"/>
        <item x="20"/>
        <item x="45"/>
        <item x="2"/>
        <item x="21"/>
        <item x="39"/>
        <item x="4"/>
        <item x="14"/>
        <item x="38"/>
        <item x="27"/>
        <item x="8"/>
        <item x="16"/>
        <item x="1"/>
        <item x="44"/>
        <item x="11"/>
        <item x="12"/>
        <item x="10"/>
        <item x="25"/>
        <item x="17"/>
        <item x="32"/>
        <item x="41"/>
        <item x="13"/>
        <item x="31"/>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pivotField showAll="0">
      <items count="5">
        <item x="1"/>
        <item x="3"/>
        <item x="0"/>
        <item x="2"/>
        <item t="default"/>
      </items>
    </pivotField>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v="44"/>
    </i>
    <i>
      <x v="34"/>
    </i>
    <i>
      <x v="23"/>
    </i>
    <i>
      <x/>
    </i>
    <i>
      <x v="30"/>
    </i>
    <i>
      <x v="40"/>
    </i>
    <i>
      <x v="5"/>
    </i>
    <i>
      <x v="39"/>
    </i>
    <i>
      <x v="35"/>
    </i>
    <i>
      <x v="20"/>
    </i>
    <i t="grand">
      <x/>
    </i>
  </rowItems>
  <colItems count="1">
    <i/>
  </colItems>
  <dataFields count="1">
    <dataField name="Sum of net_sales" fld="11" baseField="0" baseItem="0"/>
  </dataFields>
  <chartFormats count="4">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5E9B15-0A62-43A7-9D47-F31F7D244BB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5:F20" firstHeaderRow="1" firstDataRow="1" firstDataCol="1"/>
  <pivotFields count="14">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items count="5">
        <item x="0"/>
        <item x="3"/>
        <item x="1"/>
        <item x="2"/>
        <item t="default"/>
      </items>
    </pivotField>
    <pivotField showAll="0"/>
    <pivotField showAll="0">
      <items count="5">
        <item x="1"/>
        <item x="3"/>
        <item x="0"/>
        <item x="2"/>
        <item t="default"/>
      </items>
    </pivotField>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Average of discount_in_percentage" fld="8" subtotal="average" baseField="3" baseItem="0" numFmtId="2"/>
  </dataFields>
  <chartFormats count="6">
    <chartFormat chart="7"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0"/>
          </reference>
        </references>
      </pivotArea>
    </chartFormat>
    <chartFormat chart="10" format="8">
      <pivotArea type="data" outline="0" fieldPosition="0">
        <references count="2">
          <reference field="4294967294" count="1" selected="0">
            <x v="0"/>
          </reference>
          <reference field="3" count="1" selected="0">
            <x v="1"/>
          </reference>
        </references>
      </pivotArea>
    </chartFormat>
    <chartFormat chart="10" format="9">
      <pivotArea type="data" outline="0" fieldPosition="0">
        <references count="2">
          <reference field="4294967294" count="1" selected="0">
            <x v="0"/>
          </reference>
          <reference field="3" count="1" selected="0">
            <x v="2"/>
          </reference>
        </references>
      </pivotArea>
    </chartFormat>
    <chartFormat chart="10"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3935A0-E626-47FE-ADAC-84003919C5FD}"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K3:L8" firstHeaderRow="1" firstDataRow="1" firstDataCol="1"/>
  <pivotFields count="14">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items count="5">
        <item x="0"/>
        <item x="3"/>
        <item x="1"/>
        <item x="2"/>
        <item t="default"/>
      </items>
    </pivotField>
    <pivotField showAll="0"/>
    <pivotField showAll="0">
      <items count="5">
        <item x="1"/>
        <item x="3"/>
        <item x="0"/>
        <item x="2"/>
        <item t="default"/>
      </items>
    </pivotField>
    <pivotField dataField="1"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quantity" fld="6" baseField="0" baseItem="0"/>
  </dataFields>
  <chartFormats count="6">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5" format="9">
      <pivotArea type="data" outline="0" fieldPosition="0">
        <references count="2">
          <reference field="4294967294" count="1" selected="0">
            <x v="0"/>
          </reference>
          <reference field="3" count="1" selected="0">
            <x v="2"/>
          </reference>
        </references>
      </pivotArea>
    </chartFormat>
    <chartFormat chart="5"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87590A-8A4B-4C48-8A84-22776BE6339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3:I8" firstHeaderRow="1" firstDataRow="1" firstDataCol="1"/>
  <pivotFields count="14">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5">
        <item x="0"/>
        <item x="3"/>
        <item x="1"/>
        <item x="2"/>
        <item t="default"/>
      </items>
    </pivotField>
    <pivotField showAll="0"/>
    <pivotField axis="axisRow" showAll="0">
      <items count="5">
        <item x="1"/>
        <item x="3"/>
        <item x="0"/>
        <item x="2"/>
        <item t="default"/>
      </items>
    </pivotField>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i>
    <i>
      <x v="1"/>
    </i>
    <i>
      <x v="2"/>
    </i>
    <i>
      <x v="3"/>
    </i>
    <i t="grand">
      <x/>
    </i>
  </rowItems>
  <colItems count="1">
    <i/>
  </colItems>
  <dataFields count="1">
    <dataField name="Sum of net_sales" fld="11" baseField="0" baseItem="0"/>
  </dataFields>
  <chartFormats count="3">
    <chartFormat chart="6"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4C5E179-761F-485D-AF72-1234D509F969}" sourceName="Months (date)">
  <pivotTables>
    <pivotTable tabId="5" name="PivotTable2"/>
    <pivotTable tabId="5" name="PivotTable1"/>
    <pivotTable tabId="5" name="PivotTable3"/>
    <pivotTable tabId="5" name="PivotTable4"/>
    <pivotTable tabId="5" name="PivotTable5"/>
    <pivotTable tabId="5" name="PivotTable6"/>
  </pivotTables>
  <data>
    <tabular pivotCacheId="1997435874">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628D2E7-7A35-461E-BF12-3A209A22F8B2}" sourceName="category">
  <pivotTables>
    <pivotTable tabId="5" name="PivotTable2"/>
  </pivotTables>
  <data>
    <tabular pivotCacheId="1997435874">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8DA15301-F454-4494-A230-620EE5B6F35B}" cache="Slicer_Months__date" caption="Months (date)" columnCount="12" style="SlicerStyleLight5" rowHeight="234950"/>
  <slicer name="category" xr10:uid="{72231EB6-23E1-4AF2-9A41-FB1E00A1B0B0}" cache="Slicer_category" caption="category" columnCount="2"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C6EB18-74BB-429B-B5CD-631DED06135A}" name="Table2" displayName="Table2" ref="A3:L22" totalsRowShown="0">
  <autoFilter ref="A3:L22" xr:uid="{D2C6EB18-74BB-429B-B5CD-631DED06135A}"/>
  <tableColumns count="12">
    <tableColumn id="1" xr3:uid="{4563722F-3A3D-4981-8843-C85BF62981F8}" name="date" dataDxfId="3"/>
    <tableColumn id="2" xr3:uid="{DDB1B088-5211-4099-931C-82EA0F132795}" name="product_id"/>
    <tableColumn id="3" xr3:uid="{32D4FDA7-AA9C-404E-84FA-EF5D322E0237}" name="product_name"/>
    <tableColumn id="4" xr3:uid="{FAB1EF43-9B44-481D-BCAC-94C21B57E810}" name="category"/>
    <tableColumn id="5" xr3:uid="{9097D9DC-6FDF-46FC-8623-98E5517CC293}" name="city"/>
    <tableColumn id="6" xr3:uid="{26344406-9148-4026-8EC3-709D583C77B9}" name="state"/>
    <tableColumn id="7" xr3:uid="{96326983-59D1-4BCD-84BD-603C299416E8}" name="quantity"/>
    <tableColumn id="8" xr3:uid="{FC968FB9-6715-4A2C-A99D-A6C4CFD48991}" name="price_per_unit"/>
    <tableColumn id="9" xr3:uid="{16826850-E149-49A0-909C-6DDD0B438230}" name="discount_in_percentage"/>
    <tableColumn id="10" xr3:uid="{530FCC29-94B7-4736-A088-DD4CC74D7F55}" name="total_sales"/>
    <tableColumn id="11" xr3:uid="{120505DA-BBDA-47B2-9DDE-6FA2CA5BCC58}" name="discount_amount"/>
    <tableColumn id="12" xr3:uid="{F35243EA-6118-4C04-8B25-C8B3E55F06FC}" name="net_sal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1C2C82-CD5D-4A6F-B007-A31FBB81AAA2}" name="Table1" displayName="Table1" ref="A1:L51" totalsRowShown="0">
  <autoFilter ref="A1:L51" xr:uid="{821C2C82-CD5D-4A6F-B007-A31FBB81AAA2}"/>
  <tableColumns count="12">
    <tableColumn id="1" xr3:uid="{B15D3263-4480-498A-B699-D417EE893B25}" name="date" dataDxfId="2"/>
    <tableColumn id="2" xr3:uid="{FCA82696-60D7-4324-8BB6-B22FCD815F62}" name="product_id"/>
    <tableColumn id="3" xr3:uid="{68A73DF9-1A94-46BA-83F3-1A0F283097A5}" name="product_name"/>
    <tableColumn id="4" xr3:uid="{71F3CB63-578E-483D-952E-E895D1B07BAF}" name="category"/>
    <tableColumn id="5" xr3:uid="{A4F1AF90-394B-40F0-9624-F4E2CA101F81}" name="city"/>
    <tableColumn id="6" xr3:uid="{CB279CBC-DFE8-40CB-B2EB-F78831FF5C40}" name="state"/>
    <tableColumn id="7" xr3:uid="{D188AA84-5D15-420D-B11B-EBC0557A20E0}" name="quantity"/>
    <tableColumn id="8" xr3:uid="{44518B76-F960-4844-BD37-0E43BFFE6753}" name="price_per_unit"/>
    <tableColumn id="9" xr3:uid="{78E7AC12-FB77-4CE9-96DA-C5B215663FC2}" name="discount_in_percentage"/>
    <tableColumn id="10" xr3:uid="{8D45C55D-C0D6-44E2-A047-D5FEDD9557BB}" name="total_sales">
      <calculatedColumnFormula>H2*G2</calculatedColumnFormula>
    </tableColumn>
    <tableColumn id="11" xr3:uid="{8B24292F-3D3E-4EB4-A299-BFA01AA5EB9A}" name="discount_amount" dataDxfId="1">
      <calculatedColumnFormula>Table1[[#This Row],[total_sales]]*Table1[[#This Row],[discount_in_percentage]]/100</calculatedColumnFormula>
    </tableColumn>
    <tableColumn id="12" xr3:uid="{3F5E09AB-C778-4F36-991A-61DF7FF80E62}" name="net_sales" dataDxfId="0">
      <calculatedColumnFormula>Table1[[#This Row],[total_sales]]-Table1[[#This Row],[discount_amount]]</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opLeftCell="A27" workbookViewId="0">
      <selection sqref="A1:I51"/>
    </sheetView>
  </sheetViews>
  <sheetFormatPr defaultRowHeight="14.4" x14ac:dyDescent="0.3"/>
  <cols>
    <col min="1" max="1" width="17.6640625" customWidth="1"/>
    <col min="3" max="3" width="17.44140625" customWidth="1"/>
    <col min="4" max="4" width="15.44140625" customWidth="1"/>
    <col min="6" max="6" width="13.44140625" customWidth="1"/>
  </cols>
  <sheetData>
    <row r="1" spans="1:11" x14ac:dyDescent="0.3">
      <c r="A1" t="s">
        <v>0</v>
      </c>
      <c r="B1" t="s">
        <v>1</v>
      </c>
      <c r="C1" t="s">
        <v>2</v>
      </c>
      <c r="D1" t="s">
        <v>3</v>
      </c>
      <c r="E1" t="s">
        <v>4</v>
      </c>
      <c r="F1" t="s">
        <v>5</v>
      </c>
      <c r="G1" t="s">
        <v>6</v>
      </c>
      <c r="H1" t="s">
        <v>7</v>
      </c>
      <c r="I1" t="s">
        <v>8</v>
      </c>
      <c r="J1" t="s">
        <v>148</v>
      </c>
      <c r="K1" t="s">
        <v>147</v>
      </c>
    </row>
    <row r="2" spans="1:11" x14ac:dyDescent="0.3">
      <c r="A2" s="1">
        <v>45662</v>
      </c>
      <c r="B2" t="s">
        <v>9</v>
      </c>
      <c r="C2" t="s">
        <v>10</v>
      </c>
      <c r="D2" t="s">
        <v>11</v>
      </c>
      <c r="E2" t="s">
        <v>12</v>
      </c>
      <c r="F2" t="s">
        <v>13</v>
      </c>
      <c r="G2">
        <v>12</v>
      </c>
      <c r="H2">
        <v>65000</v>
      </c>
      <c r="I2">
        <v>10</v>
      </c>
      <c r="J2">
        <f>H2-H2*I2/100</f>
        <v>58500</v>
      </c>
      <c r="K2">
        <f>H2*G2</f>
        <v>780000</v>
      </c>
    </row>
    <row r="3" spans="1:11" x14ac:dyDescent="0.3">
      <c r="A3" s="1">
        <v>45669</v>
      </c>
      <c r="B3" t="s">
        <v>14</v>
      </c>
      <c r="C3" t="s">
        <v>15</v>
      </c>
      <c r="D3" t="s">
        <v>11</v>
      </c>
      <c r="E3" t="s">
        <v>16</v>
      </c>
      <c r="F3" t="s">
        <v>13</v>
      </c>
      <c r="G3">
        <v>25</v>
      </c>
      <c r="H3">
        <v>28000</v>
      </c>
      <c r="I3">
        <v>8</v>
      </c>
      <c r="J3">
        <f t="shared" ref="J3:J51" si="0">H3-H3*I3/100</f>
        <v>25760</v>
      </c>
      <c r="K3">
        <f t="shared" ref="K3:K51" si="1">H3*G3</f>
        <v>700000</v>
      </c>
    </row>
    <row r="4" spans="1:11" x14ac:dyDescent="0.3">
      <c r="A4" s="1">
        <v>45676</v>
      </c>
      <c r="B4" t="s">
        <v>17</v>
      </c>
      <c r="C4" t="s">
        <v>18</v>
      </c>
      <c r="D4" t="s">
        <v>19</v>
      </c>
      <c r="E4" t="s">
        <v>20</v>
      </c>
      <c r="F4" t="s">
        <v>13</v>
      </c>
      <c r="G4">
        <v>18</v>
      </c>
      <c r="H4">
        <v>5500</v>
      </c>
      <c r="I4">
        <v>12</v>
      </c>
      <c r="J4">
        <f t="shared" si="0"/>
        <v>4840</v>
      </c>
      <c r="K4">
        <f t="shared" si="1"/>
        <v>99000</v>
      </c>
    </row>
    <row r="5" spans="1:11" x14ac:dyDescent="0.3">
      <c r="A5" s="1">
        <v>45683</v>
      </c>
      <c r="B5" t="s">
        <v>21</v>
      </c>
      <c r="C5" t="s">
        <v>22</v>
      </c>
      <c r="D5" t="s">
        <v>19</v>
      </c>
      <c r="E5" t="s">
        <v>23</v>
      </c>
      <c r="F5" t="s">
        <v>13</v>
      </c>
      <c r="G5">
        <v>8</v>
      </c>
      <c r="H5">
        <v>18000</v>
      </c>
      <c r="I5">
        <v>15</v>
      </c>
      <c r="J5">
        <f t="shared" si="0"/>
        <v>15300</v>
      </c>
      <c r="K5">
        <f t="shared" si="1"/>
        <v>144000</v>
      </c>
    </row>
    <row r="6" spans="1:11" x14ac:dyDescent="0.3">
      <c r="A6" s="1">
        <v>45690</v>
      </c>
      <c r="B6" t="s">
        <v>24</v>
      </c>
      <c r="C6" t="s">
        <v>25</v>
      </c>
      <c r="D6" t="s">
        <v>11</v>
      </c>
      <c r="E6" t="s">
        <v>26</v>
      </c>
      <c r="F6" t="s">
        <v>13</v>
      </c>
      <c r="G6">
        <v>10</v>
      </c>
      <c r="H6">
        <v>12000</v>
      </c>
      <c r="I6">
        <v>5</v>
      </c>
      <c r="J6">
        <f t="shared" si="0"/>
        <v>11400</v>
      </c>
      <c r="K6">
        <f t="shared" si="1"/>
        <v>120000</v>
      </c>
    </row>
    <row r="7" spans="1:11" x14ac:dyDescent="0.3">
      <c r="A7" s="1">
        <v>45697</v>
      </c>
      <c r="B7" t="s">
        <v>27</v>
      </c>
      <c r="C7" t="s">
        <v>28</v>
      </c>
      <c r="D7" t="s">
        <v>29</v>
      </c>
      <c r="E7" t="s">
        <v>30</v>
      </c>
      <c r="F7" t="s">
        <v>13</v>
      </c>
      <c r="G7">
        <v>20</v>
      </c>
      <c r="H7">
        <v>3500</v>
      </c>
      <c r="I7">
        <v>18</v>
      </c>
      <c r="J7">
        <f t="shared" si="0"/>
        <v>2870</v>
      </c>
      <c r="K7">
        <f t="shared" si="1"/>
        <v>70000</v>
      </c>
    </row>
    <row r="8" spans="1:11" x14ac:dyDescent="0.3">
      <c r="A8" s="1">
        <v>45704</v>
      </c>
      <c r="B8" t="s">
        <v>31</v>
      </c>
      <c r="C8" t="s">
        <v>32</v>
      </c>
      <c r="D8" t="s">
        <v>29</v>
      </c>
      <c r="E8" t="s">
        <v>33</v>
      </c>
      <c r="F8" t="s">
        <v>13</v>
      </c>
      <c r="G8">
        <v>6</v>
      </c>
      <c r="H8">
        <v>42000</v>
      </c>
      <c r="I8">
        <v>10</v>
      </c>
      <c r="J8">
        <f t="shared" si="0"/>
        <v>37800</v>
      </c>
      <c r="K8">
        <f t="shared" si="1"/>
        <v>252000</v>
      </c>
    </row>
    <row r="9" spans="1:11" x14ac:dyDescent="0.3">
      <c r="A9" s="1">
        <v>45711</v>
      </c>
      <c r="B9" t="s">
        <v>34</v>
      </c>
      <c r="C9" t="s">
        <v>35</v>
      </c>
      <c r="D9" t="s">
        <v>29</v>
      </c>
      <c r="E9" t="s">
        <v>36</v>
      </c>
      <c r="F9" t="s">
        <v>13</v>
      </c>
      <c r="G9">
        <v>14</v>
      </c>
      <c r="H9">
        <v>9500</v>
      </c>
      <c r="I9">
        <v>12</v>
      </c>
      <c r="J9">
        <f t="shared" si="0"/>
        <v>8360</v>
      </c>
      <c r="K9">
        <f t="shared" si="1"/>
        <v>133000</v>
      </c>
    </row>
    <row r="10" spans="1:11" x14ac:dyDescent="0.3">
      <c r="A10" s="1">
        <v>45718</v>
      </c>
      <c r="B10" t="s">
        <v>37</v>
      </c>
      <c r="C10" t="s">
        <v>38</v>
      </c>
      <c r="D10" t="s">
        <v>39</v>
      </c>
      <c r="E10" t="s">
        <v>12</v>
      </c>
      <c r="F10" t="s">
        <v>13</v>
      </c>
      <c r="G10">
        <v>35</v>
      </c>
      <c r="H10">
        <v>2200</v>
      </c>
      <c r="I10">
        <v>20</v>
      </c>
      <c r="J10">
        <f t="shared" si="0"/>
        <v>1760</v>
      </c>
      <c r="K10">
        <f t="shared" si="1"/>
        <v>77000</v>
      </c>
    </row>
    <row r="11" spans="1:11" x14ac:dyDescent="0.3">
      <c r="A11" s="1">
        <v>45725</v>
      </c>
      <c r="B11" t="s">
        <v>40</v>
      </c>
      <c r="C11" t="s">
        <v>41</v>
      </c>
      <c r="D11" t="s">
        <v>39</v>
      </c>
      <c r="E11" t="s">
        <v>16</v>
      </c>
      <c r="F11" t="s">
        <v>13</v>
      </c>
      <c r="G11">
        <v>28</v>
      </c>
      <c r="H11">
        <v>1800</v>
      </c>
      <c r="I11">
        <v>15</v>
      </c>
      <c r="J11">
        <f t="shared" si="0"/>
        <v>1530</v>
      </c>
      <c r="K11">
        <f t="shared" si="1"/>
        <v>50400</v>
      </c>
    </row>
    <row r="12" spans="1:11" x14ac:dyDescent="0.3">
      <c r="A12" s="1">
        <v>45732</v>
      </c>
      <c r="B12" t="s">
        <v>42</v>
      </c>
      <c r="C12" t="s">
        <v>10</v>
      </c>
      <c r="D12" t="s">
        <v>11</v>
      </c>
      <c r="E12" t="s">
        <v>43</v>
      </c>
      <c r="F12" t="s">
        <v>44</v>
      </c>
      <c r="G12">
        <v>10</v>
      </c>
      <c r="H12">
        <v>62000</v>
      </c>
      <c r="I12">
        <v>9</v>
      </c>
      <c r="J12">
        <f t="shared" si="0"/>
        <v>56420</v>
      </c>
      <c r="K12">
        <f t="shared" si="1"/>
        <v>620000</v>
      </c>
    </row>
    <row r="13" spans="1:11" x14ac:dyDescent="0.3">
      <c r="A13" s="1">
        <v>45739</v>
      </c>
      <c r="B13" t="s">
        <v>45</v>
      </c>
      <c r="C13" t="s">
        <v>46</v>
      </c>
      <c r="D13" t="s">
        <v>11</v>
      </c>
      <c r="E13" t="s">
        <v>47</v>
      </c>
      <c r="F13" t="s">
        <v>44</v>
      </c>
      <c r="G13">
        <v>16</v>
      </c>
      <c r="H13">
        <v>24000</v>
      </c>
      <c r="I13">
        <v>10</v>
      </c>
      <c r="J13">
        <f t="shared" si="0"/>
        <v>21600</v>
      </c>
      <c r="K13">
        <f t="shared" si="1"/>
        <v>384000</v>
      </c>
    </row>
    <row r="14" spans="1:11" x14ac:dyDescent="0.3">
      <c r="A14" s="1">
        <v>45746</v>
      </c>
      <c r="B14" t="s">
        <v>48</v>
      </c>
      <c r="C14" t="s">
        <v>49</v>
      </c>
      <c r="D14" t="s">
        <v>19</v>
      </c>
      <c r="E14" t="s">
        <v>50</v>
      </c>
      <c r="F14" t="s">
        <v>44</v>
      </c>
      <c r="G14">
        <v>5</v>
      </c>
      <c r="H14">
        <v>28000</v>
      </c>
      <c r="I14">
        <v>12</v>
      </c>
      <c r="J14">
        <f t="shared" si="0"/>
        <v>24640</v>
      </c>
      <c r="K14">
        <f t="shared" si="1"/>
        <v>140000</v>
      </c>
    </row>
    <row r="15" spans="1:11" x14ac:dyDescent="0.3">
      <c r="A15" s="1">
        <v>45753</v>
      </c>
      <c r="B15" t="s">
        <v>51</v>
      </c>
      <c r="C15" t="s">
        <v>52</v>
      </c>
      <c r="D15" t="s">
        <v>19</v>
      </c>
      <c r="E15" t="s">
        <v>53</v>
      </c>
      <c r="F15" t="s">
        <v>44</v>
      </c>
      <c r="G15">
        <v>15</v>
      </c>
      <c r="H15">
        <v>7000</v>
      </c>
      <c r="I15">
        <v>8</v>
      </c>
      <c r="J15">
        <f t="shared" si="0"/>
        <v>6440</v>
      </c>
      <c r="K15">
        <f t="shared" si="1"/>
        <v>105000</v>
      </c>
    </row>
    <row r="16" spans="1:11" x14ac:dyDescent="0.3">
      <c r="A16" s="1">
        <v>45760</v>
      </c>
      <c r="B16" t="s">
        <v>54</v>
      </c>
      <c r="C16" t="s">
        <v>55</v>
      </c>
      <c r="D16" t="s">
        <v>29</v>
      </c>
      <c r="E16" t="s">
        <v>56</v>
      </c>
      <c r="F16" t="s">
        <v>44</v>
      </c>
      <c r="G16">
        <v>7</v>
      </c>
      <c r="H16">
        <v>26000</v>
      </c>
      <c r="I16">
        <v>10</v>
      </c>
      <c r="J16">
        <f t="shared" si="0"/>
        <v>23400</v>
      </c>
      <c r="K16">
        <f t="shared" si="1"/>
        <v>182000</v>
      </c>
    </row>
    <row r="17" spans="1:11" x14ac:dyDescent="0.3">
      <c r="A17" s="1">
        <v>45767</v>
      </c>
      <c r="B17" t="s">
        <v>57</v>
      </c>
      <c r="C17" t="s">
        <v>58</v>
      </c>
      <c r="D17" t="s">
        <v>29</v>
      </c>
      <c r="E17" t="s">
        <v>59</v>
      </c>
      <c r="F17" t="s">
        <v>44</v>
      </c>
      <c r="G17">
        <v>9</v>
      </c>
      <c r="H17">
        <v>33000</v>
      </c>
      <c r="I17">
        <v>11</v>
      </c>
      <c r="J17">
        <f t="shared" si="0"/>
        <v>29370</v>
      </c>
      <c r="K17">
        <f t="shared" si="1"/>
        <v>297000</v>
      </c>
    </row>
    <row r="18" spans="1:11" x14ac:dyDescent="0.3">
      <c r="A18" s="1">
        <v>45774</v>
      </c>
      <c r="B18" t="s">
        <v>60</v>
      </c>
      <c r="C18" t="s">
        <v>61</v>
      </c>
      <c r="D18" t="s">
        <v>11</v>
      </c>
      <c r="E18" t="s">
        <v>62</v>
      </c>
      <c r="F18" t="s">
        <v>44</v>
      </c>
      <c r="G18">
        <v>40</v>
      </c>
      <c r="H18">
        <v>2500</v>
      </c>
      <c r="I18">
        <v>18</v>
      </c>
      <c r="J18">
        <f t="shared" si="0"/>
        <v>2050</v>
      </c>
      <c r="K18">
        <f t="shared" si="1"/>
        <v>100000</v>
      </c>
    </row>
    <row r="19" spans="1:11" x14ac:dyDescent="0.3">
      <c r="A19" s="1">
        <v>45781</v>
      </c>
      <c r="B19" t="s">
        <v>63</v>
      </c>
      <c r="C19" t="s">
        <v>64</v>
      </c>
      <c r="D19" t="s">
        <v>11</v>
      </c>
      <c r="E19" t="s">
        <v>65</v>
      </c>
      <c r="F19" t="s">
        <v>44</v>
      </c>
      <c r="G19">
        <v>22</v>
      </c>
      <c r="H19">
        <v>9000</v>
      </c>
      <c r="I19">
        <v>15</v>
      </c>
      <c r="J19">
        <f t="shared" si="0"/>
        <v>7650</v>
      </c>
      <c r="K19">
        <f t="shared" si="1"/>
        <v>198000</v>
      </c>
    </row>
    <row r="20" spans="1:11" x14ac:dyDescent="0.3">
      <c r="A20" s="1">
        <v>45788</v>
      </c>
      <c r="B20" t="s">
        <v>66</v>
      </c>
      <c r="C20" t="s">
        <v>67</v>
      </c>
      <c r="D20" t="s">
        <v>39</v>
      </c>
      <c r="E20" t="s">
        <v>43</v>
      </c>
      <c r="F20" t="s">
        <v>44</v>
      </c>
      <c r="G20">
        <v>50</v>
      </c>
      <c r="H20">
        <v>800</v>
      </c>
      <c r="I20">
        <v>25</v>
      </c>
      <c r="J20">
        <f t="shared" si="0"/>
        <v>600</v>
      </c>
      <c r="K20">
        <f t="shared" si="1"/>
        <v>40000</v>
      </c>
    </row>
    <row r="21" spans="1:11" x14ac:dyDescent="0.3">
      <c r="A21" s="1">
        <v>45795</v>
      </c>
      <c r="B21" t="s">
        <v>68</v>
      </c>
      <c r="C21" t="s">
        <v>69</v>
      </c>
      <c r="D21" t="s">
        <v>39</v>
      </c>
      <c r="E21" t="s">
        <v>47</v>
      </c>
      <c r="F21" t="s">
        <v>44</v>
      </c>
      <c r="G21">
        <v>30</v>
      </c>
      <c r="H21">
        <v>1800</v>
      </c>
      <c r="I21">
        <v>20</v>
      </c>
      <c r="J21">
        <f t="shared" si="0"/>
        <v>1440</v>
      </c>
      <c r="K21">
        <f t="shared" si="1"/>
        <v>54000</v>
      </c>
    </row>
    <row r="22" spans="1:11" x14ac:dyDescent="0.3">
      <c r="A22" s="1">
        <v>45802</v>
      </c>
      <c r="B22" t="s">
        <v>70</v>
      </c>
      <c r="C22" t="s">
        <v>10</v>
      </c>
      <c r="D22" t="s">
        <v>11</v>
      </c>
      <c r="E22" t="s">
        <v>71</v>
      </c>
      <c r="F22" t="s">
        <v>72</v>
      </c>
      <c r="G22">
        <v>11</v>
      </c>
      <c r="H22">
        <v>64000</v>
      </c>
      <c r="I22">
        <v>8</v>
      </c>
      <c r="J22">
        <f t="shared" si="0"/>
        <v>58880</v>
      </c>
      <c r="K22">
        <f t="shared" si="1"/>
        <v>704000</v>
      </c>
    </row>
    <row r="23" spans="1:11" x14ac:dyDescent="0.3">
      <c r="A23" s="1">
        <v>45809</v>
      </c>
      <c r="B23" t="s">
        <v>73</v>
      </c>
      <c r="C23" t="s">
        <v>74</v>
      </c>
      <c r="D23" t="s">
        <v>11</v>
      </c>
      <c r="E23" t="s">
        <v>75</v>
      </c>
      <c r="F23" t="s">
        <v>72</v>
      </c>
      <c r="G23">
        <v>32</v>
      </c>
      <c r="H23">
        <v>1200</v>
      </c>
      <c r="I23">
        <v>15</v>
      </c>
      <c r="J23">
        <f t="shared" si="0"/>
        <v>1020</v>
      </c>
      <c r="K23">
        <f t="shared" si="1"/>
        <v>38400</v>
      </c>
    </row>
    <row r="24" spans="1:11" x14ac:dyDescent="0.3">
      <c r="A24" s="1">
        <v>45816</v>
      </c>
      <c r="B24" t="s">
        <v>76</v>
      </c>
      <c r="C24" t="s">
        <v>77</v>
      </c>
      <c r="D24" t="s">
        <v>11</v>
      </c>
      <c r="E24" t="s">
        <v>78</v>
      </c>
      <c r="F24" t="s">
        <v>72</v>
      </c>
      <c r="G24">
        <v>40</v>
      </c>
      <c r="H24">
        <v>800</v>
      </c>
      <c r="I24">
        <v>18</v>
      </c>
      <c r="J24">
        <f t="shared" si="0"/>
        <v>656</v>
      </c>
      <c r="K24">
        <f t="shared" si="1"/>
        <v>32000</v>
      </c>
    </row>
    <row r="25" spans="1:11" x14ac:dyDescent="0.3">
      <c r="A25" s="1">
        <v>45823</v>
      </c>
      <c r="B25" t="s">
        <v>79</v>
      </c>
      <c r="C25" t="s">
        <v>80</v>
      </c>
      <c r="D25" t="s">
        <v>19</v>
      </c>
      <c r="E25" t="s">
        <v>81</v>
      </c>
      <c r="F25" t="s">
        <v>72</v>
      </c>
      <c r="G25">
        <v>10</v>
      </c>
      <c r="H25">
        <v>9500</v>
      </c>
      <c r="I25">
        <v>10</v>
      </c>
      <c r="J25">
        <f t="shared" si="0"/>
        <v>8550</v>
      </c>
      <c r="K25">
        <f t="shared" si="1"/>
        <v>95000</v>
      </c>
    </row>
    <row r="26" spans="1:11" x14ac:dyDescent="0.3">
      <c r="A26" s="1">
        <v>45830</v>
      </c>
      <c r="B26" t="s">
        <v>82</v>
      </c>
      <c r="C26" t="s">
        <v>83</v>
      </c>
      <c r="D26" t="s">
        <v>19</v>
      </c>
      <c r="E26" t="s">
        <v>84</v>
      </c>
      <c r="F26" t="s">
        <v>72</v>
      </c>
      <c r="G26">
        <v>13</v>
      </c>
      <c r="H26">
        <v>6500</v>
      </c>
      <c r="I26">
        <v>12</v>
      </c>
      <c r="J26">
        <f t="shared" si="0"/>
        <v>5720</v>
      </c>
      <c r="K26">
        <f t="shared" si="1"/>
        <v>84500</v>
      </c>
    </row>
    <row r="27" spans="1:11" x14ac:dyDescent="0.3">
      <c r="A27" s="1">
        <v>45837</v>
      </c>
      <c r="B27" t="s">
        <v>85</v>
      </c>
      <c r="C27" t="s">
        <v>86</v>
      </c>
      <c r="D27" t="s">
        <v>29</v>
      </c>
      <c r="E27" t="s">
        <v>87</v>
      </c>
      <c r="F27" t="s">
        <v>72</v>
      </c>
      <c r="G27">
        <v>18</v>
      </c>
      <c r="H27">
        <v>2800</v>
      </c>
      <c r="I27">
        <v>10</v>
      </c>
      <c r="J27">
        <f t="shared" si="0"/>
        <v>2520</v>
      </c>
      <c r="K27">
        <f t="shared" si="1"/>
        <v>50400</v>
      </c>
    </row>
    <row r="28" spans="1:11" x14ac:dyDescent="0.3">
      <c r="A28" s="1">
        <v>45844</v>
      </c>
      <c r="B28" t="s">
        <v>88</v>
      </c>
      <c r="C28" t="s">
        <v>89</v>
      </c>
      <c r="D28" t="s">
        <v>29</v>
      </c>
      <c r="E28" t="s">
        <v>90</v>
      </c>
      <c r="F28" t="s">
        <v>72</v>
      </c>
      <c r="G28">
        <v>12</v>
      </c>
      <c r="H28">
        <v>8500</v>
      </c>
      <c r="I28">
        <v>15</v>
      </c>
      <c r="J28">
        <f t="shared" si="0"/>
        <v>7225</v>
      </c>
      <c r="K28">
        <f t="shared" si="1"/>
        <v>102000</v>
      </c>
    </row>
    <row r="29" spans="1:11" x14ac:dyDescent="0.3">
      <c r="A29" s="1">
        <v>45851</v>
      </c>
      <c r="B29" t="s">
        <v>91</v>
      </c>
      <c r="C29" t="s">
        <v>92</v>
      </c>
      <c r="D29" t="s">
        <v>11</v>
      </c>
      <c r="E29" t="s">
        <v>93</v>
      </c>
      <c r="F29" t="s">
        <v>72</v>
      </c>
      <c r="G29">
        <v>8</v>
      </c>
      <c r="H29">
        <v>38000</v>
      </c>
      <c r="I29">
        <v>7</v>
      </c>
      <c r="J29">
        <f t="shared" si="0"/>
        <v>35340</v>
      </c>
      <c r="K29">
        <f t="shared" si="1"/>
        <v>304000</v>
      </c>
    </row>
    <row r="30" spans="1:11" x14ac:dyDescent="0.3">
      <c r="A30" s="1">
        <v>45858</v>
      </c>
      <c r="B30" t="s">
        <v>94</v>
      </c>
      <c r="C30" t="s">
        <v>95</v>
      </c>
      <c r="D30" t="s">
        <v>39</v>
      </c>
      <c r="E30" t="s">
        <v>71</v>
      </c>
      <c r="F30" t="s">
        <v>72</v>
      </c>
      <c r="G30">
        <v>24</v>
      </c>
      <c r="H30">
        <v>3200</v>
      </c>
      <c r="I30">
        <v>20</v>
      </c>
      <c r="J30">
        <f t="shared" si="0"/>
        <v>2560</v>
      </c>
      <c r="K30">
        <f t="shared" si="1"/>
        <v>76800</v>
      </c>
    </row>
    <row r="31" spans="1:11" x14ac:dyDescent="0.3">
      <c r="A31" s="1">
        <v>45865</v>
      </c>
      <c r="B31" t="s">
        <v>96</v>
      </c>
      <c r="C31" t="s">
        <v>97</v>
      </c>
      <c r="D31" t="s">
        <v>39</v>
      </c>
      <c r="E31" t="s">
        <v>78</v>
      </c>
      <c r="F31" t="s">
        <v>72</v>
      </c>
      <c r="G31">
        <v>30</v>
      </c>
      <c r="H31">
        <v>1500</v>
      </c>
      <c r="I31">
        <v>18</v>
      </c>
      <c r="J31">
        <f t="shared" si="0"/>
        <v>1230</v>
      </c>
      <c r="K31">
        <f t="shared" si="1"/>
        <v>45000</v>
      </c>
    </row>
    <row r="32" spans="1:11" x14ac:dyDescent="0.3">
      <c r="A32" s="1">
        <v>45872</v>
      </c>
      <c r="B32" t="s">
        <v>98</v>
      </c>
      <c r="C32" t="s">
        <v>10</v>
      </c>
      <c r="D32" t="s">
        <v>11</v>
      </c>
      <c r="E32" t="s">
        <v>99</v>
      </c>
      <c r="F32" t="s">
        <v>100</v>
      </c>
      <c r="G32">
        <v>14</v>
      </c>
      <c r="H32">
        <v>67000</v>
      </c>
      <c r="I32">
        <v>10</v>
      </c>
      <c r="J32">
        <f t="shared" si="0"/>
        <v>60300</v>
      </c>
      <c r="K32">
        <f t="shared" si="1"/>
        <v>938000</v>
      </c>
    </row>
    <row r="33" spans="1:11" x14ac:dyDescent="0.3">
      <c r="A33" s="1">
        <v>45879</v>
      </c>
      <c r="B33" t="s">
        <v>101</v>
      </c>
      <c r="C33" t="s">
        <v>15</v>
      </c>
      <c r="D33" t="s">
        <v>11</v>
      </c>
      <c r="E33" t="s">
        <v>102</v>
      </c>
      <c r="F33" t="s">
        <v>100</v>
      </c>
      <c r="G33">
        <v>26</v>
      </c>
      <c r="H33">
        <v>30000</v>
      </c>
      <c r="I33">
        <v>9</v>
      </c>
      <c r="J33">
        <f t="shared" si="0"/>
        <v>27300</v>
      </c>
      <c r="K33">
        <f t="shared" si="1"/>
        <v>780000</v>
      </c>
    </row>
    <row r="34" spans="1:11" x14ac:dyDescent="0.3">
      <c r="A34" s="1">
        <v>45886</v>
      </c>
      <c r="B34" t="s">
        <v>103</v>
      </c>
      <c r="C34" t="s">
        <v>104</v>
      </c>
      <c r="D34" t="s">
        <v>19</v>
      </c>
      <c r="E34" t="s">
        <v>105</v>
      </c>
      <c r="F34" t="s">
        <v>100</v>
      </c>
      <c r="G34">
        <v>20</v>
      </c>
      <c r="H34">
        <v>4200</v>
      </c>
      <c r="I34">
        <v>14</v>
      </c>
      <c r="J34">
        <f t="shared" si="0"/>
        <v>3612</v>
      </c>
      <c r="K34">
        <f t="shared" si="1"/>
        <v>84000</v>
      </c>
    </row>
    <row r="35" spans="1:11" x14ac:dyDescent="0.3">
      <c r="A35" s="1">
        <v>45893</v>
      </c>
      <c r="B35" t="s">
        <v>106</v>
      </c>
      <c r="C35" t="s">
        <v>107</v>
      </c>
      <c r="D35" t="s">
        <v>19</v>
      </c>
      <c r="E35" t="s">
        <v>108</v>
      </c>
      <c r="F35" t="s">
        <v>100</v>
      </c>
      <c r="G35">
        <v>11</v>
      </c>
      <c r="H35">
        <v>7800</v>
      </c>
      <c r="I35">
        <v>10</v>
      </c>
      <c r="J35">
        <f t="shared" si="0"/>
        <v>7020</v>
      </c>
      <c r="K35">
        <f t="shared" si="1"/>
        <v>85800</v>
      </c>
    </row>
    <row r="36" spans="1:11" x14ac:dyDescent="0.3">
      <c r="A36" s="1">
        <v>45900</v>
      </c>
      <c r="B36" t="s">
        <v>109</v>
      </c>
      <c r="C36" t="s">
        <v>110</v>
      </c>
      <c r="D36" t="s">
        <v>29</v>
      </c>
      <c r="E36" t="s">
        <v>111</v>
      </c>
      <c r="F36" t="s">
        <v>100</v>
      </c>
      <c r="G36">
        <v>15</v>
      </c>
      <c r="H36">
        <v>3500</v>
      </c>
      <c r="I36">
        <v>12</v>
      </c>
      <c r="J36">
        <f t="shared" si="0"/>
        <v>3080</v>
      </c>
      <c r="K36">
        <f t="shared" si="1"/>
        <v>52500</v>
      </c>
    </row>
    <row r="37" spans="1:11" x14ac:dyDescent="0.3">
      <c r="A37" s="1">
        <v>45907</v>
      </c>
      <c r="B37" t="s">
        <v>112</v>
      </c>
      <c r="C37" t="s">
        <v>113</v>
      </c>
      <c r="D37" t="s">
        <v>29</v>
      </c>
      <c r="E37" t="s">
        <v>114</v>
      </c>
      <c r="F37" t="s">
        <v>100</v>
      </c>
      <c r="G37">
        <v>9</v>
      </c>
      <c r="H37">
        <v>14500</v>
      </c>
      <c r="I37">
        <v>10</v>
      </c>
      <c r="J37">
        <f t="shared" si="0"/>
        <v>13050</v>
      </c>
      <c r="K37">
        <f t="shared" si="1"/>
        <v>130500</v>
      </c>
    </row>
    <row r="38" spans="1:11" x14ac:dyDescent="0.3">
      <c r="A38" s="1">
        <v>45914</v>
      </c>
      <c r="B38" t="s">
        <v>115</v>
      </c>
      <c r="C38" t="s">
        <v>116</v>
      </c>
      <c r="D38" t="s">
        <v>29</v>
      </c>
      <c r="E38" t="s">
        <v>117</v>
      </c>
      <c r="F38" t="s">
        <v>100</v>
      </c>
      <c r="G38">
        <v>7</v>
      </c>
      <c r="H38">
        <v>12000</v>
      </c>
      <c r="I38">
        <v>15</v>
      </c>
      <c r="J38">
        <f t="shared" si="0"/>
        <v>10200</v>
      </c>
      <c r="K38">
        <f t="shared" si="1"/>
        <v>84000</v>
      </c>
    </row>
    <row r="39" spans="1:11" x14ac:dyDescent="0.3">
      <c r="A39" s="1">
        <v>45921</v>
      </c>
      <c r="B39" t="s">
        <v>118</v>
      </c>
      <c r="C39" t="s">
        <v>119</v>
      </c>
      <c r="D39" t="s">
        <v>11</v>
      </c>
      <c r="E39" t="s">
        <v>120</v>
      </c>
      <c r="F39" t="s">
        <v>100</v>
      </c>
      <c r="G39">
        <v>28</v>
      </c>
      <c r="H39">
        <v>4500</v>
      </c>
      <c r="I39">
        <v>18</v>
      </c>
      <c r="J39">
        <f t="shared" si="0"/>
        <v>3690</v>
      </c>
      <c r="K39">
        <f t="shared" si="1"/>
        <v>126000</v>
      </c>
    </row>
    <row r="40" spans="1:11" x14ac:dyDescent="0.3">
      <c r="A40" s="1">
        <v>45928</v>
      </c>
      <c r="B40" t="s">
        <v>121</v>
      </c>
      <c r="C40" t="s">
        <v>122</v>
      </c>
      <c r="D40" t="s">
        <v>39</v>
      </c>
      <c r="E40" t="s">
        <v>99</v>
      </c>
      <c r="F40" t="s">
        <v>100</v>
      </c>
      <c r="G40">
        <v>34</v>
      </c>
      <c r="H40">
        <v>2200</v>
      </c>
      <c r="I40">
        <v>20</v>
      </c>
      <c r="J40">
        <f t="shared" si="0"/>
        <v>1760</v>
      </c>
      <c r="K40">
        <f t="shared" si="1"/>
        <v>74800</v>
      </c>
    </row>
    <row r="41" spans="1:11" x14ac:dyDescent="0.3">
      <c r="A41" s="1">
        <v>45935</v>
      </c>
      <c r="B41" t="s">
        <v>123</v>
      </c>
      <c r="C41" t="s">
        <v>124</v>
      </c>
      <c r="D41" t="s">
        <v>39</v>
      </c>
      <c r="E41" t="s">
        <v>102</v>
      </c>
      <c r="F41" t="s">
        <v>100</v>
      </c>
      <c r="G41">
        <v>45</v>
      </c>
      <c r="H41">
        <v>600</v>
      </c>
      <c r="I41">
        <v>25</v>
      </c>
      <c r="J41">
        <f t="shared" si="0"/>
        <v>450</v>
      </c>
      <c r="K41">
        <f t="shared" si="1"/>
        <v>27000</v>
      </c>
    </row>
    <row r="42" spans="1:11" x14ac:dyDescent="0.3">
      <c r="A42" s="1">
        <v>45942</v>
      </c>
      <c r="B42" t="s">
        <v>125</v>
      </c>
      <c r="C42" t="s">
        <v>126</v>
      </c>
      <c r="D42" t="s">
        <v>11</v>
      </c>
      <c r="E42" t="s">
        <v>12</v>
      </c>
      <c r="F42" t="s">
        <v>13</v>
      </c>
      <c r="G42">
        <v>6</v>
      </c>
      <c r="H42">
        <v>52000</v>
      </c>
      <c r="I42">
        <v>8</v>
      </c>
      <c r="J42">
        <f t="shared" si="0"/>
        <v>47840</v>
      </c>
      <c r="K42">
        <f t="shared" si="1"/>
        <v>312000</v>
      </c>
    </row>
    <row r="43" spans="1:11" x14ac:dyDescent="0.3">
      <c r="A43" s="1">
        <v>45949</v>
      </c>
      <c r="B43" t="s">
        <v>127</v>
      </c>
      <c r="C43" t="s">
        <v>128</v>
      </c>
      <c r="D43" t="s">
        <v>11</v>
      </c>
      <c r="E43" t="s">
        <v>43</v>
      </c>
      <c r="F43" t="s">
        <v>44</v>
      </c>
      <c r="G43">
        <v>17</v>
      </c>
      <c r="H43">
        <v>14500</v>
      </c>
      <c r="I43">
        <v>10</v>
      </c>
      <c r="J43">
        <f t="shared" si="0"/>
        <v>13050</v>
      </c>
      <c r="K43">
        <f t="shared" si="1"/>
        <v>246500</v>
      </c>
    </row>
    <row r="44" spans="1:11" x14ac:dyDescent="0.3">
      <c r="A44" s="1">
        <v>45956</v>
      </c>
      <c r="B44" t="s">
        <v>129</v>
      </c>
      <c r="C44" t="s">
        <v>130</v>
      </c>
      <c r="D44" t="s">
        <v>11</v>
      </c>
      <c r="E44" t="s">
        <v>75</v>
      </c>
      <c r="F44" t="s">
        <v>72</v>
      </c>
      <c r="G44">
        <v>22</v>
      </c>
      <c r="H44">
        <v>2800</v>
      </c>
      <c r="I44">
        <v>12</v>
      </c>
      <c r="J44">
        <f t="shared" si="0"/>
        <v>2464</v>
      </c>
      <c r="K44">
        <f t="shared" si="1"/>
        <v>61600</v>
      </c>
    </row>
    <row r="45" spans="1:11" x14ac:dyDescent="0.3">
      <c r="A45" s="1">
        <v>45963</v>
      </c>
      <c r="B45" t="s">
        <v>131</v>
      </c>
      <c r="C45" t="s">
        <v>132</v>
      </c>
      <c r="D45" t="s">
        <v>11</v>
      </c>
      <c r="E45" t="s">
        <v>99</v>
      </c>
      <c r="F45" t="s">
        <v>100</v>
      </c>
      <c r="G45">
        <v>36</v>
      </c>
      <c r="H45">
        <v>1800</v>
      </c>
      <c r="I45">
        <v>15</v>
      </c>
      <c r="J45">
        <f t="shared" si="0"/>
        <v>1530</v>
      </c>
      <c r="K45">
        <f t="shared" si="1"/>
        <v>64800</v>
      </c>
    </row>
    <row r="46" spans="1:11" x14ac:dyDescent="0.3">
      <c r="A46" s="1">
        <v>45970</v>
      </c>
      <c r="B46" t="s">
        <v>133</v>
      </c>
      <c r="C46" t="s">
        <v>134</v>
      </c>
      <c r="D46" t="s">
        <v>29</v>
      </c>
      <c r="E46" t="s">
        <v>16</v>
      </c>
      <c r="F46" t="s">
        <v>13</v>
      </c>
      <c r="G46">
        <v>10</v>
      </c>
      <c r="H46">
        <v>8500</v>
      </c>
      <c r="I46">
        <v>18</v>
      </c>
      <c r="J46">
        <f t="shared" si="0"/>
        <v>6970</v>
      </c>
      <c r="K46">
        <f t="shared" si="1"/>
        <v>85000</v>
      </c>
    </row>
    <row r="47" spans="1:11" x14ac:dyDescent="0.3">
      <c r="A47" s="1">
        <v>45977</v>
      </c>
      <c r="B47" t="s">
        <v>135</v>
      </c>
      <c r="C47" t="s">
        <v>136</v>
      </c>
      <c r="D47" t="s">
        <v>19</v>
      </c>
      <c r="E47" t="s">
        <v>47</v>
      </c>
      <c r="F47" t="s">
        <v>44</v>
      </c>
      <c r="G47">
        <v>4</v>
      </c>
      <c r="H47">
        <v>32000</v>
      </c>
      <c r="I47">
        <v>10</v>
      </c>
      <c r="J47">
        <f t="shared" si="0"/>
        <v>28800</v>
      </c>
      <c r="K47">
        <f t="shared" si="1"/>
        <v>128000</v>
      </c>
    </row>
    <row r="48" spans="1:11" x14ac:dyDescent="0.3">
      <c r="A48" s="1">
        <v>45984</v>
      </c>
      <c r="B48" t="s">
        <v>137</v>
      </c>
      <c r="C48" t="s">
        <v>138</v>
      </c>
      <c r="D48" t="s">
        <v>11</v>
      </c>
      <c r="E48" t="s">
        <v>75</v>
      </c>
      <c r="F48" t="s">
        <v>72</v>
      </c>
      <c r="G48">
        <v>18</v>
      </c>
      <c r="H48">
        <v>2500</v>
      </c>
      <c r="I48">
        <v>12</v>
      </c>
      <c r="J48">
        <f t="shared" si="0"/>
        <v>2200</v>
      </c>
      <c r="K48">
        <f t="shared" si="1"/>
        <v>45000</v>
      </c>
    </row>
    <row r="49" spans="1:11" x14ac:dyDescent="0.3">
      <c r="A49" s="1">
        <v>45991</v>
      </c>
      <c r="B49" t="s">
        <v>139</v>
      </c>
      <c r="C49" t="s">
        <v>140</v>
      </c>
      <c r="D49" t="s">
        <v>29</v>
      </c>
      <c r="E49" t="s">
        <v>105</v>
      </c>
      <c r="F49" t="s">
        <v>100</v>
      </c>
      <c r="G49">
        <v>27</v>
      </c>
      <c r="H49">
        <v>1200</v>
      </c>
      <c r="I49">
        <v>20</v>
      </c>
      <c r="J49">
        <f t="shared" si="0"/>
        <v>960</v>
      </c>
      <c r="K49">
        <f t="shared" si="1"/>
        <v>32400</v>
      </c>
    </row>
    <row r="50" spans="1:11" x14ac:dyDescent="0.3">
      <c r="A50" s="1">
        <v>45998</v>
      </c>
      <c r="B50" t="s">
        <v>141</v>
      </c>
      <c r="C50" t="s">
        <v>142</v>
      </c>
      <c r="D50" t="s">
        <v>39</v>
      </c>
      <c r="E50" t="s">
        <v>20</v>
      </c>
      <c r="F50" t="s">
        <v>13</v>
      </c>
      <c r="G50">
        <v>21</v>
      </c>
      <c r="H50">
        <v>2800</v>
      </c>
      <c r="I50">
        <v>15</v>
      </c>
      <c r="J50">
        <f t="shared" si="0"/>
        <v>2380</v>
      </c>
      <c r="K50">
        <f t="shared" si="1"/>
        <v>58800</v>
      </c>
    </row>
    <row r="51" spans="1:11" x14ac:dyDescent="0.3">
      <c r="A51" s="1">
        <v>46005</v>
      </c>
      <c r="B51" t="s">
        <v>143</v>
      </c>
      <c r="C51" t="s">
        <v>144</v>
      </c>
      <c r="D51" t="s">
        <v>19</v>
      </c>
      <c r="E51" t="s">
        <v>50</v>
      </c>
      <c r="F51" t="s">
        <v>44</v>
      </c>
      <c r="G51">
        <v>8</v>
      </c>
      <c r="H51">
        <v>15000</v>
      </c>
      <c r="I51">
        <v>10</v>
      </c>
      <c r="J51">
        <f t="shared" si="0"/>
        <v>13500</v>
      </c>
      <c r="K51">
        <f t="shared" si="1"/>
        <v>120000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CD118-737F-46C4-8079-025F5A37C0E7}">
  <dimension ref="A1:L22"/>
  <sheetViews>
    <sheetView workbookViewId="0">
      <selection activeCell="A3" sqref="A3:L22"/>
    </sheetView>
  </sheetViews>
  <sheetFormatPr defaultRowHeight="14.4" x14ac:dyDescent="0.3"/>
  <cols>
    <col min="1" max="1" width="10.33203125" bestFit="1" customWidth="1"/>
    <col min="2" max="2" width="12.44140625" bestFit="1" customWidth="1"/>
    <col min="3" max="3" width="16.109375" bestFit="1" customWidth="1"/>
    <col min="4" max="4" width="10.5546875" bestFit="1" customWidth="1"/>
    <col min="5" max="5" width="11.21875" bestFit="1" customWidth="1"/>
    <col min="6" max="6" width="11.44140625" bestFit="1" customWidth="1"/>
    <col min="7" max="7" width="10.33203125" bestFit="1" customWidth="1"/>
    <col min="8" max="8" width="15.5546875" bestFit="1" customWidth="1"/>
    <col min="9" max="9" width="23.77734375" bestFit="1" customWidth="1"/>
    <col min="10" max="10" width="12.109375" bestFit="1" customWidth="1"/>
    <col min="11" max="11" width="18.21875" bestFit="1" customWidth="1"/>
    <col min="12" max="12" width="11" bestFit="1" customWidth="1"/>
  </cols>
  <sheetData>
    <row r="1" spans="1:12" x14ac:dyDescent="0.3">
      <c r="A1" s="5" t="s">
        <v>169</v>
      </c>
    </row>
    <row r="3" spans="1:12" x14ac:dyDescent="0.3">
      <c r="A3" t="s">
        <v>0</v>
      </c>
      <c r="B3" t="s">
        <v>1</v>
      </c>
      <c r="C3" t="s">
        <v>2</v>
      </c>
      <c r="D3" t="s">
        <v>3</v>
      </c>
      <c r="E3" t="s">
        <v>4</v>
      </c>
      <c r="F3" t="s">
        <v>5</v>
      </c>
      <c r="G3" t="s">
        <v>6</v>
      </c>
      <c r="H3" t="s">
        <v>7</v>
      </c>
      <c r="I3" t="s">
        <v>8</v>
      </c>
      <c r="J3" t="s">
        <v>150</v>
      </c>
      <c r="K3" t="s">
        <v>151</v>
      </c>
      <c r="L3" t="s">
        <v>152</v>
      </c>
    </row>
    <row r="4" spans="1:12" x14ac:dyDescent="0.3">
      <c r="A4" s="4">
        <v>45662</v>
      </c>
      <c r="B4" t="s">
        <v>9</v>
      </c>
      <c r="C4" t="s">
        <v>10</v>
      </c>
      <c r="D4" t="s">
        <v>11</v>
      </c>
      <c r="E4" t="s">
        <v>12</v>
      </c>
      <c r="F4" t="s">
        <v>13</v>
      </c>
      <c r="G4">
        <v>12</v>
      </c>
      <c r="H4">
        <v>65000</v>
      </c>
      <c r="I4">
        <v>10</v>
      </c>
      <c r="J4">
        <v>780000</v>
      </c>
      <c r="K4">
        <v>78000</v>
      </c>
      <c r="L4">
        <v>702000</v>
      </c>
    </row>
    <row r="5" spans="1:12" x14ac:dyDescent="0.3">
      <c r="A5" s="4">
        <v>45669</v>
      </c>
      <c r="B5" t="s">
        <v>14</v>
      </c>
      <c r="C5" t="s">
        <v>15</v>
      </c>
      <c r="D5" t="s">
        <v>11</v>
      </c>
      <c r="E5" t="s">
        <v>16</v>
      </c>
      <c r="F5" t="s">
        <v>13</v>
      </c>
      <c r="G5">
        <v>25</v>
      </c>
      <c r="H5">
        <v>28000</v>
      </c>
      <c r="I5">
        <v>8</v>
      </c>
      <c r="J5">
        <v>700000</v>
      </c>
      <c r="K5">
        <v>56000</v>
      </c>
      <c r="L5">
        <v>644000</v>
      </c>
    </row>
    <row r="6" spans="1:12" x14ac:dyDescent="0.3">
      <c r="A6" s="4">
        <v>45984</v>
      </c>
      <c r="B6" t="s">
        <v>137</v>
      </c>
      <c r="C6" t="s">
        <v>138</v>
      </c>
      <c r="D6" t="s">
        <v>11</v>
      </c>
      <c r="E6" t="s">
        <v>75</v>
      </c>
      <c r="F6" t="s">
        <v>72</v>
      </c>
      <c r="G6">
        <v>18</v>
      </c>
      <c r="H6">
        <v>2500</v>
      </c>
      <c r="I6">
        <v>12</v>
      </c>
      <c r="J6">
        <v>45000</v>
      </c>
      <c r="K6">
        <v>5400</v>
      </c>
      <c r="L6">
        <v>39600</v>
      </c>
    </row>
    <row r="7" spans="1:12" x14ac:dyDescent="0.3">
      <c r="A7" s="4">
        <v>45963</v>
      </c>
      <c r="B7" t="s">
        <v>131</v>
      </c>
      <c r="C7" t="s">
        <v>132</v>
      </c>
      <c r="D7" t="s">
        <v>11</v>
      </c>
      <c r="E7" t="s">
        <v>99</v>
      </c>
      <c r="F7" t="s">
        <v>100</v>
      </c>
      <c r="G7">
        <v>36</v>
      </c>
      <c r="H7">
        <v>1800</v>
      </c>
      <c r="I7">
        <v>15</v>
      </c>
      <c r="J7">
        <v>64800</v>
      </c>
      <c r="K7">
        <v>9720</v>
      </c>
      <c r="L7">
        <v>55080</v>
      </c>
    </row>
    <row r="8" spans="1:12" x14ac:dyDescent="0.3">
      <c r="A8" s="4">
        <v>45690</v>
      </c>
      <c r="B8" t="s">
        <v>24</v>
      </c>
      <c r="C8" t="s">
        <v>25</v>
      </c>
      <c r="D8" t="s">
        <v>11</v>
      </c>
      <c r="E8" t="s">
        <v>26</v>
      </c>
      <c r="F8" t="s">
        <v>13</v>
      </c>
      <c r="G8">
        <v>10</v>
      </c>
      <c r="H8">
        <v>12000</v>
      </c>
      <c r="I8">
        <v>5</v>
      </c>
      <c r="J8">
        <v>120000</v>
      </c>
      <c r="K8">
        <v>6000</v>
      </c>
      <c r="L8">
        <v>114000</v>
      </c>
    </row>
    <row r="9" spans="1:12" x14ac:dyDescent="0.3">
      <c r="A9" s="4">
        <v>45956</v>
      </c>
      <c r="B9" t="s">
        <v>129</v>
      </c>
      <c r="C9" t="s">
        <v>130</v>
      </c>
      <c r="D9" t="s">
        <v>11</v>
      </c>
      <c r="E9" t="s">
        <v>75</v>
      </c>
      <c r="F9" t="s">
        <v>72</v>
      </c>
      <c r="G9">
        <v>22</v>
      </c>
      <c r="H9">
        <v>2800</v>
      </c>
      <c r="I9">
        <v>12</v>
      </c>
      <c r="J9">
        <v>61600</v>
      </c>
      <c r="K9">
        <v>7392</v>
      </c>
      <c r="L9">
        <v>54208</v>
      </c>
    </row>
    <row r="10" spans="1:12" x14ac:dyDescent="0.3">
      <c r="A10" s="4">
        <v>45949</v>
      </c>
      <c r="B10" t="s">
        <v>127</v>
      </c>
      <c r="C10" t="s">
        <v>128</v>
      </c>
      <c r="D10" t="s">
        <v>11</v>
      </c>
      <c r="E10" t="s">
        <v>43</v>
      </c>
      <c r="F10" t="s">
        <v>44</v>
      </c>
      <c r="G10">
        <v>17</v>
      </c>
      <c r="H10">
        <v>14500</v>
      </c>
      <c r="I10">
        <v>10</v>
      </c>
      <c r="J10">
        <v>246500</v>
      </c>
      <c r="K10">
        <v>24650</v>
      </c>
      <c r="L10">
        <v>221850</v>
      </c>
    </row>
    <row r="11" spans="1:12" x14ac:dyDescent="0.3">
      <c r="A11" s="4">
        <v>45942</v>
      </c>
      <c r="B11" t="s">
        <v>125</v>
      </c>
      <c r="C11" t="s">
        <v>126</v>
      </c>
      <c r="D11" t="s">
        <v>11</v>
      </c>
      <c r="E11" t="s">
        <v>12</v>
      </c>
      <c r="F11" t="s">
        <v>13</v>
      </c>
      <c r="G11">
        <v>6</v>
      </c>
      <c r="H11">
        <v>52000</v>
      </c>
      <c r="I11">
        <v>8</v>
      </c>
      <c r="J11">
        <v>312000</v>
      </c>
      <c r="K11">
        <v>24960</v>
      </c>
      <c r="L11">
        <v>287040</v>
      </c>
    </row>
    <row r="12" spans="1:12" x14ac:dyDescent="0.3">
      <c r="A12" s="4">
        <v>45921</v>
      </c>
      <c r="B12" t="s">
        <v>118</v>
      </c>
      <c r="C12" t="s">
        <v>119</v>
      </c>
      <c r="D12" t="s">
        <v>11</v>
      </c>
      <c r="E12" t="s">
        <v>120</v>
      </c>
      <c r="F12" t="s">
        <v>100</v>
      </c>
      <c r="G12">
        <v>28</v>
      </c>
      <c r="H12">
        <v>4500</v>
      </c>
      <c r="I12">
        <v>18</v>
      </c>
      <c r="J12">
        <v>126000</v>
      </c>
      <c r="K12">
        <v>22680</v>
      </c>
      <c r="L12">
        <v>103320</v>
      </c>
    </row>
    <row r="13" spans="1:12" x14ac:dyDescent="0.3">
      <c r="A13" s="4">
        <v>45879</v>
      </c>
      <c r="B13" t="s">
        <v>101</v>
      </c>
      <c r="C13" t="s">
        <v>15</v>
      </c>
      <c r="D13" t="s">
        <v>11</v>
      </c>
      <c r="E13" t="s">
        <v>102</v>
      </c>
      <c r="F13" t="s">
        <v>100</v>
      </c>
      <c r="G13">
        <v>26</v>
      </c>
      <c r="H13">
        <v>30000</v>
      </c>
      <c r="I13">
        <v>9</v>
      </c>
      <c r="J13">
        <v>780000</v>
      </c>
      <c r="K13">
        <v>70200</v>
      </c>
      <c r="L13">
        <v>709800</v>
      </c>
    </row>
    <row r="14" spans="1:12" x14ac:dyDescent="0.3">
      <c r="A14" s="4">
        <v>45732</v>
      </c>
      <c r="B14" t="s">
        <v>42</v>
      </c>
      <c r="C14" t="s">
        <v>10</v>
      </c>
      <c r="D14" t="s">
        <v>11</v>
      </c>
      <c r="E14" t="s">
        <v>43</v>
      </c>
      <c r="F14" t="s">
        <v>44</v>
      </c>
      <c r="G14">
        <v>10</v>
      </c>
      <c r="H14">
        <v>62000</v>
      </c>
      <c r="I14">
        <v>9</v>
      </c>
      <c r="J14">
        <v>620000</v>
      </c>
      <c r="K14">
        <v>55800</v>
      </c>
      <c r="L14">
        <v>564200</v>
      </c>
    </row>
    <row r="15" spans="1:12" x14ac:dyDescent="0.3">
      <c r="A15" s="4">
        <v>45739</v>
      </c>
      <c r="B15" t="s">
        <v>45</v>
      </c>
      <c r="C15" t="s">
        <v>46</v>
      </c>
      <c r="D15" t="s">
        <v>11</v>
      </c>
      <c r="E15" t="s">
        <v>47</v>
      </c>
      <c r="F15" t="s">
        <v>44</v>
      </c>
      <c r="G15">
        <v>16</v>
      </c>
      <c r="H15">
        <v>24000</v>
      </c>
      <c r="I15">
        <v>10</v>
      </c>
      <c r="J15">
        <v>384000</v>
      </c>
      <c r="K15">
        <v>38400</v>
      </c>
      <c r="L15">
        <v>345600</v>
      </c>
    </row>
    <row r="16" spans="1:12" x14ac:dyDescent="0.3">
      <c r="A16" s="4">
        <v>45872</v>
      </c>
      <c r="B16" t="s">
        <v>98</v>
      </c>
      <c r="C16" t="s">
        <v>10</v>
      </c>
      <c r="D16" t="s">
        <v>11</v>
      </c>
      <c r="E16" t="s">
        <v>99</v>
      </c>
      <c r="F16" t="s">
        <v>100</v>
      </c>
      <c r="G16">
        <v>14</v>
      </c>
      <c r="H16">
        <v>67000</v>
      </c>
      <c r="I16">
        <v>10</v>
      </c>
      <c r="J16">
        <v>938000</v>
      </c>
      <c r="K16">
        <v>93800</v>
      </c>
      <c r="L16">
        <v>844200</v>
      </c>
    </row>
    <row r="17" spans="1:12" x14ac:dyDescent="0.3">
      <c r="A17" s="4">
        <v>45851</v>
      </c>
      <c r="B17" t="s">
        <v>91</v>
      </c>
      <c r="C17" t="s">
        <v>92</v>
      </c>
      <c r="D17" t="s">
        <v>11</v>
      </c>
      <c r="E17" t="s">
        <v>93</v>
      </c>
      <c r="F17" t="s">
        <v>72</v>
      </c>
      <c r="G17">
        <v>8</v>
      </c>
      <c r="H17">
        <v>38000</v>
      </c>
      <c r="I17">
        <v>7</v>
      </c>
      <c r="J17">
        <v>304000</v>
      </c>
      <c r="K17">
        <v>21280</v>
      </c>
      <c r="L17">
        <v>282720</v>
      </c>
    </row>
    <row r="18" spans="1:12" x14ac:dyDescent="0.3">
      <c r="A18" s="4">
        <v>45816</v>
      </c>
      <c r="B18" t="s">
        <v>76</v>
      </c>
      <c r="C18" t="s">
        <v>77</v>
      </c>
      <c r="D18" t="s">
        <v>11</v>
      </c>
      <c r="E18" t="s">
        <v>78</v>
      </c>
      <c r="F18" t="s">
        <v>72</v>
      </c>
      <c r="G18">
        <v>40</v>
      </c>
      <c r="H18">
        <v>800</v>
      </c>
      <c r="I18">
        <v>18</v>
      </c>
      <c r="J18">
        <v>32000</v>
      </c>
      <c r="K18">
        <v>5760</v>
      </c>
      <c r="L18">
        <v>26240</v>
      </c>
    </row>
    <row r="19" spans="1:12" x14ac:dyDescent="0.3">
      <c r="A19" s="4">
        <v>45809</v>
      </c>
      <c r="B19" t="s">
        <v>73</v>
      </c>
      <c r="C19" t="s">
        <v>74</v>
      </c>
      <c r="D19" t="s">
        <v>11</v>
      </c>
      <c r="E19" t="s">
        <v>75</v>
      </c>
      <c r="F19" t="s">
        <v>72</v>
      </c>
      <c r="G19">
        <v>32</v>
      </c>
      <c r="H19">
        <v>1200</v>
      </c>
      <c r="I19">
        <v>15</v>
      </c>
      <c r="J19">
        <v>38400</v>
      </c>
      <c r="K19">
        <v>5760</v>
      </c>
      <c r="L19">
        <v>32640</v>
      </c>
    </row>
    <row r="20" spans="1:12" x14ac:dyDescent="0.3">
      <c r="A20" s="4">
        <v>45774</v>
      </c>
      <c r="B20" t="s">
        <v>60</v>
      </c>
      <c r="C20" t="s">
        <v>61</v>
      </c>
      <c r="D20" t="s">
        <v>11</v>
      </c>
      <c r="E20" t="s">
        <v>62</v>
      </c>
      <c r="F20" t="s">
        <v>44</v>
      </c>
      <c r="G20">
        <v>40</v>
      </c>
      <c r="H20">
        <v>2500</v>
      </c>
      <c r="I20">
        <v>18</v>
      </c>
      <c r="J20">
        <v>100000</v>
      </c>
      <c r="K20">
        <v>18000</v>
      </c>
      <c r="L20">
        <v>82000</v>
      </c>
    </row>
    <row r="21" spans="1:12" x14ac:dyDescent="0.3">
      <c r="A21" s="4">
        <v>45781</v>
      </c>
      <c r="B21" t="s">
        <v>63</v>
      </c>
      <c r="C21" t="s">
        <v>64</v>
      </c>
      <c r="D21" t="s">
        <v>11</v>
      </c>
      <c r="E21" t="s">
        <v>65</v>
      </c>
      <c r="F21" t="s">
        <v>44</v>
      </c>
      <c r="G21">
        <v>22</v>
      </c>
      <c r="H21">
        <v>9000</v>
      </c>
      <c r="I21">
        <v>15</v>
      </c>
      <c r="J21">
        <v>198000</v>
      </c>
      <c r="K21">
        <v>29700</v>
      </c>
      <c r="L21">
        <v>168300</v>
      </c>
    </row>
    <row r="22" spans="1:12" x14ac:dyDescent="0.3">
      <c r="A22" s="4">
        <v>45802</v>
      </c>
      <c r="B22" t="s">
        <v>70</v>
      </c>
      <c r="C22" t="s">
        <v>10</v>
      </c>
      <c r="D22" t="s">
        <v>11</v>
      </c>
      <c r="E22" t="s">
        <v>71</v>
      </c>
      <c r="F22" t="s">
        <v>72</v>
      </c>
      <c r="G22">
        <v>11</v>
      </c>
      <c r="H22">
        <v>64000</v>
      </c>
      <c r="I22">
        <v>8</v>
      </c>
      <c r="J22">
        <v>704000</v>
      </c>
      <c r="K22">
        <v>56320</v>
      </c>
      <c r="L22">
        <v>647680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701B2-A786-408A-A03A-430BB3F54ED5}">
  <dimension ref="A3:B8"/>
  <sheetViews>
    <sheetView workbookViewId="0">
      <selection activeCell="C12" sqref="C12"/>
    </sheetView>
  </sheetViews>
  <sheetFormatPr defaultRowHeight="14.4" x14ac:dyDescent="0.3"/>
  <cols>
    <col min="1" max="1" width="12.5546875" bestFit="1" customWidth="1"/>
    <col min="2" max="2" width="11.44140625" bestFit="1" customWidth="1"/>
  </cols>
  <sheetData>
    <row r="3" spans="1:2" x14ac:dyDescent="0.3">
      <c r="A3" s="2" t="s">
        <v>145</v>
      </c>
      <c r="B3" t="s">
        <v>149</v>
      </c>
    </row>
    <row r="4" spans="1:2" x14ac:dyDescent="0.3">
      <c r="A4" s="3" t="s">
        <v>44</v>
      </c>
      <c r="B4">
        <v>2614500</v>
      </c>
    </row>
    <row r="5" spans="1:2" x14ac:dyDescent="0.3">
      <c r="A5" s="3" t="s">
        <v>100</v>
      </c>
      <c r="B5">
        <v>2479800</v>
      </c>
    </row>
    <row r="6" spans="1:2" x14ac:dyDescent="0.3">
      <c r="A6" s="3" t="s">
        <v>13</v>
      </c>
      <c r="B6">
        <v>2881200</v>
      </c>
    </row>
    <row r="7" spans="1:2" x14ac:dyDescent="0.3">
      <c r="A7" s="3" t="s">
        <v>72</v>
      </c>
      <c r="B7">
        <v>1638700</v>
      </c>
    </row>
    <row r="8" spans="1:2" x14ac:dyDescent="0.3">
      <c r="A8" s="3" t="s">
        <v>146</v>
      </c>
      <c r="B8">
        <v>9614200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E05F0-A649-4442-8976-1DB092C0E03B}">
  <dimension ref="A1:L51"/>
  <sheetViews>
    <sheetView topLeftCell="A25" workbookViewId="0">
      <selection activeCell="I38" sqref="I38"/>
    </sheetView>
  </sheetViews>
  <sheetFormatPr defaultRowHeight="14.4" x14ac:dyDescent="0.3"/>
  <cols>
    <col min="1" max="1" width="13.5546875" customWidth="1"/>
    <col min="2" max="2" width="12.109375" customWidth="1"/>
    <col min="3" max="3" width="15.6640625" customWidth="1"/>
    <col min="4" max="4" width="14.88671875" customWidth="1"/>
    <col min="5" max="5" width="16.77734375" customWidth="1"/>
    <col min="6" max="6" width="13.33203125" customWidth="1"/>
    <col min="7" max="7" width="10" customWidth="1"/>
    <col min="8" max="8" width="15.109375" customWidth="1"/>
    <col min="9" max="9" width="23.109375" customWidth="1"/>
    <col min="10" max="10" width="11.77734375" customWidth="1"/>
    <col min="11" max="11" width="16.5546875" customWidth="1"/>
  </cols>
  <sheetData>
    <row r="1" spans="1:12" x14ac:dyDescent="0.3">
      <c r="A1" t="s">
        <v>0</v>
      </c>
      <c r="B1" t="s">
        <v>1</v>
      </c>
      <c r="C1" t="s">
        <v>2</v>
      </c>
      <c r="D1" t="s">
        <v>3</v>
      </c>
      <c r="E1" t="s">
        <v>4</v>
      </c>
      <c r="F1" t="s">
        <v>5</v>
      </c>
      <c r="G1" t="s">
        <v>6</v>
      </c>
      <c r="H1" t="s">
        <v>7</v>
      </c>
      <c r="I1" t="s">
        <v>8</v>
      </c>
      <c r="J1" t="s">
        <v>150</v>
      </c>
      <c r="K1" t="s">
        <v>151</v>
      </c>
      <c r="L1" t="s">
        <v>152</v>
      </c>
    </row>
    <row r="2" spans="1:12" x14ac:dyDescent="0.3">
      <c r="A2" s="1">
        <v>45662</v>
      </c>
      <c r="B2" t="s">
        <v>9</v>
      </c>
      <c r="C2" t="s">
        <v>10</v>
      </c>
      <c r="D2" t="s">
        <v>11</v>
      </c>
      <c r="E2" t="s">
        <v>12</v>
      </c>
      <c r="F2" t="s">
        <v>13</v>
      </c>
      <c r="G2">
        <v>12</v>
      </c>
      <c r="H2">
        <v>65000</v>
      </c>
      <c r="I2">
        <v>10</v>
      </c>
      <c r="J2">
        <f>H2*G2</f>
        <v>780000</v>
      </c>
      <c r="K2">
        <f>Table1[[#This Row],[total_sales]]*Table1[[#This Row],[discount_in_percentage]]/100</f>
        <v>78000</v>
      </c>
      <c r="L2">
        <f>Table1[[#This Row],[total_sales]]-Table1[[#This Row],[discount_amount]]</f>
        <v>702000</v>
      </c>
    </row>
    <row r="3" spans="1:12" x14ac:dyDescent="0.3">
      <c r="A3" s="1">
        <v>45669</v>
      </c>
      <c r="B3" t="s">
        <v>14</v>
      </c>
      <c r="C3" t="s">
        <v>15</v>
      </c>
      <c r="D3" t="s">
        <v>11</v>
      </c>
      <c r="E3" t="s">
        <v>16</v>
      </c>
      <c r="F3" t="s">
        <v>13</v>
      </c>
      <c r="G3">
        <v>25</v>
      </c>
      <c r="H3">
        <v>28000</v>
      </c>
      <c r="I3">
        <v>8</v>
      </c>
      <c r="J3">
        <f t="shared" ref="J3:J51" si="0">H3*G3</f>
        <v>700000</v>
      </c>
      <c r="K3">
        <f>Table1[[#This Row],[total_sales]]*Table1[[#This Row],[discount_in_percentage]]/100</f>
        <v>56000</v>
      </c>
      <c r="L3">
        <f>Table1[[#This Row],[total_sales]]-Table1[[#This Row],[discount_amount]]</f>
        <v>644000</v>
      </c>
    </row>
    <row r="4" spans="1:12" x14ac:dyDescent="0.3">
      <c r="A4" s="1">
        <v>45676</v>
      </c>
      <c r="B4" t="s">
        <v>17</v>
      </c>
      <c r="C4" t="s">
        <v>18</v>
      </c>
      <c r="D4" t="s">
        <v>19</v>
      </c>
      <c r="E4" t="s">
        <v>20</v>
      </c>
      <c r="F4" t="s">
        <v>13</v>
      </c>
      <c r="G4">
        <v>18</v>
      </c>
      <c r="H4">
        <v>5500</v>
      </c>
      <c r="I4">
        <v>12</v>
      </c>
      <c r="J4">
        <f t="shared" si="0"/>
        <v>99000</v>
      </c>
      <c r="K4">
        <f>Table1[[#This Row],[total_sales]]*Table1[[#This Row],[discount_in_percentage]]/100</f>
        <v>11880</v>
      </c>
      <c r="L4">
        <f>Table1[[#This Row],[total_sales]]-Table1[[#This Row],[discount_amount]]</f>
        <v>87120</v>
      </c>
    </row>
    <row r="5" spans="1:12" x14ac:dyDescent="0.3">
      <c r="A5" s="1">
        <v>45683</v>
      </c>
      <c r="B5" t="s">
        <v>21</v>
      </c>
      <c r="C5" t="s">
        <v>22</v>
      </c>
      <c r="D5" t="s">
        <v>19</v>
      </c>
      <c r="E5" t="s">
        <v>23</v>
      </c>
      <c r="F5" t="s">
        <v>13</v>
      </c>
      <c r="G5">
        <v>8</v>
      </c>
      <c r="H5">
        <v>18000</v>
      </c>
      <c r="I5">
        <v>15</v>
      </c>
      <c r="J5">
        <f t="shared" si="0"/>
        <v>144000</v>
      </c>
      <c r="K5">
        <f>Table1[[#This Row],[total_sales]]*Table1[[#This Row],[discount_in_percentage]]/100</f>
        <v>21600</v>
      </c>
      <c r="L5">
        <f>Table1[[#This Row],[total_sales]]-Table1[[#This Row],[discount_amount]]</f>
        <v>122400</v>
      </c>
    </row>
    <row r="6" spans="1:12" x14ac:dyDescent="0.3">
      <c r="A6" s="1">
        <v>45690</v>
      </c>
      <c r="B6" t="s">
        <v>24</v>
      </c>
      <c r="C6" t="s">
        <v>25</v>
      </c>
      <c r="D6" t="s">
        <v>11</v>
      </c>
      <c r="E6" t="s">
        <v>26</v>
      </c>
      <c r="F6" t="s">
        <v>13</v>
      </c>
      <c r="G6">
        <v>10</v>
      </c>
      <c r="H6">
        <v>12000</v>
      </c>
      <c r="I6">
        <v>5</v>
      </c>
      <c r="J6">
        <f t="shared" si="0"/>
        <v>120000</v>
      </c>
      <c r="K6">
        <f>Table1[[#This Row],[total_sales]]*Table1[[#This Row],[discount_in_percentage]]/100</f>
        <v>6000</v>
      </c>
      <c r="L6">
        <f>Table1[[#This Row],[total_sales]]-Table1[[#This Row],[discount_amount]]</f>
        <v>114000</v>
      </c>
    </row>
    <row r="7" spans="1:12" x14ac:dyDescent="0.3">
      <c r="A7" s="1">
        <v>45697</v>
      </c>
      <c r="B7" t="s">
        <v>27</v>
      </c>
      <c r="C7" t="s">
        <v>28</v>
      </c>
      <c r="D7" t="s">
        <v>29</v>
      </c>
      <c r="E7" t="s">
        <v>30</v>
      </c>
      <c r="F7" t="s">
        <v>13</v>
      </c>
      <c r="G7">
        <v>20</v>
      </c>
      <c r="H7">
        <v>3500</v>
      </c>
      <c r="I7">
        <v>18</v>
      </c>
      <c r="J7">
        <f t="shared" si="0"/>
        <v>70000</v>
      </c>
      <c r="K7">
        <f>Table1[[#This Row],[total_sales]]*Table1[[#This Row],[discount_in_percentage]]/100</f>
        <v>12600</v>
      </c>
      <c r="L7">
        <f>Table1[[#This Row],[total_sales]]-Table1[[#This Row],[discount_amount]]</f>
        <v>57400</v>
      </c>
    </row>
    <row r="8" spans="1:12" x14ac:dyDescent="0.3">
      <c r="A8" s="1">
        <v>45704</v>
      </c>
      <c r="B8" t="s">
        <v>31</v>
      </c>
      <c r="C8" t="s">
        <v>32</v>
      </c>
      <c r="D8" t="s">
        <v>29</v>
      </c>
      <c r="E8" t="s">
        <v>33</v>
      </c>
      <c r="F8" t="s">
        <v>13</v>
      </c>
      <c r="G8">
        <v>6</v>
      </c>
      <c r="H8">
        <v>42000</v>
      </c>
      <c r="I8">
        <v>10</v>
      </c>
      <c r="J8">
        <f t="shared" si="0"/>
        <v>252000</v>
      </c>
      <c r="K8">
        <f>Table1[[#This Row],[total_sales]]*Table1[[#This Row],[discount_in_percentage]]/100</f>
        <v>25200</v>
      </c>
      <c r="L8">
        <f>Table1[[#This Row],[total_sales]]-Table1[[#This Row],[discount_amount]]</f>
        <v>226800</v>
      </c>
    </row>
    <row r="9" spans="1:12" x14ac:dyDescent="0.3">
      <c r="A9" s="1">
        <v>45711</v>
      </c>
      <c r="B9" t="s">
        <v>34</v>
      </c>
      <c r="C9" t="s">
        <v>35</v>
      </c>
      <c r="D9" t="s">
        <v>29</v>
      </c>
      <c r="E9" t="s">
        <v>36</v>
      </c>
      <c r="F9" t="s">
        <v>13</v>
      </c>
      <c r="G9">
        <v>14</v>
      </c>
      <c r="H9">
        <v>9500</v>
      </c>
      <c r="I9">
        <v>12</v>
      </c>
      <c r="J9">
        <f t="shared" si="0"/>
        <v>133000</v>
      </c>
      <c r="K9">
        <f>Table1[[#This Row],[total_sales]]*Table1[[#This Row],[discount_in_percentage]]/100</f>
        <v>15960</v>
      </c>
      <c r="L9">
        <f>Table1[[#This Row],[total_sales]]-Table1[[#This Row],[discount_amount]]</f>
        <v>117040</v>
      </c>
    </row>
    <row r="10" spans="1:12" x14ac:dyDescent="0.3">
      <c r="A10" s="1">
        <v>45718</v>
      </c>
      <c r="B10" t="s">
        <v>37</v>
      </c>
      <c r="C10" t="s">
        <v>38</v>
      </c>
      <c r="D10" t="s">
        <v>39</v>
      </c>
      <c r="E10" t="s">
        <v>12</v>
      </c>
      <c r="F10" t="s">
        <v>13</v>
      </c>
      <c r="G10">
        <v>35</v>
      </c>
      <c r="H10">
        <v>2200</v>
      </c>
      <c r="I10">
        <v>20</v>
      </c>
      <c r="J10">
        <f t="shared" si="0"/>
        <v>77000</v>
      </c>
      <c r="K10">
        <f>Table1[[#This Row],[total_sales]]*Table1[[#This Row],[discount_in_percentage]]/100</f>
        <v>15400</v>
      </c>
      <c r="L10">
        <f>Table1[[#This Row],[total_sales]]-Table1[[#This Row],[discount_amount]]</f>
        <v>61600</v>
      </c>
    </row>
    <row r="11" spans="1:12" x14ac:dyDescent="0.3">
      <c r="A11" s="1">
        <v>45725</v>
      </c>
      <c r="B11" t="s">
        <v>40</v>
      </c>
      <c r="C11" t="s">
        <v>41</v>
      </c>
      <c r="D11" t="s">
        <v>39</v>
      </c>
      <c r="E11" t="s">
        <v>16</v>
      </c>
      <c r="F11" t="s">
        <v>13</v>
      </c>
      <c r="G11">
        <v>28</v>
      </c>
      <c r="H11">
        <v>1800</v>
      </c>
      <c r="I11">
        <v>15</v>
      </c>
      <c r="J11">
        <f t="shared" si="0"/>
        <v>50400</v>
      </c>
      <c r="K11">
        <f>Table1[[#This Row],[total_sales]]*Table1[[#This Row],[discount_in_percentage]]/100</f>
        <v>7560</v>
      </c>
      <c r="L11">
        <f>Table1[[#This Row],[total_sales]]-Table1[[#This Row],[discount_amount]]</f>
        <v>42840</v>
      </c>
    </row>
    <row r="12" spans="1:12" x14ac:dyDescent="0.3">
      <c r="A12" s="1">
        <v>45732</v>
      </c>
      <c r="B12" t="s">
        <v>42</v>
      </c>
      <c r="C12" t="s">
        <v>10</v>
      </c>
      <c r="D12" t="s">
        <v>11</v>
      </c>
      <c r="E12" t="s">
        <v>43</v>
      </c>
      <c r="F12" t="s">
        <v>44</v>
      </c>
      <c r="G12">
        <v>10</v>
      </c>
      <c r="H12">
        <v>62000</v>
      </c>
      <c r="I12">
        <v>9</v>
      </c>
      <c r="J12">
        <f t="shared" si="0"/>
        <v>620000</v>
      </c>
      <c r="K12">
        <f>Table1[[#This Row],[total_sales]]*Table1[[#This Row],[discount_in_percentage]]/100</f>
        <v>55800</v>
      </c>
      <c r="L12">
        <f>Table1[[#This Row],[total_sales]]-Table1[[#This Row],[discount_amount]]</f>
        <v>564200</v>
      </c>
    </row>
    <row r="13" spans="1:12" x14ac:dyDescent="0.3">
      <c r="A13" s="1">
        <v>45739</v>
      </c>
      <c r="B13" t="s">
        <v>45</v>
      </c>
      <c r="C13" t="s">
        <v>46</v>
      </c>
      <c r="D13" t="s">
        <v>11</v>
      </c>
      <c r="E13" t="s">
        <v>47</v>
      </c>
      <c r="F13" t="s">
        <v>44</v>
      </c>
      <c r="G13">
        <v>16</v>
      </c>
      <c r="H13">
        <v>24000</v>
      </c>
      <c r="I13">
        <v>10</v>
      </c>
      <c r="J13">
        <f t="shared" si="0"/>
        <v>384000</v>
      </c>
      <c r="K13">
        <f>Table1[[#This Row],[total_sales]]*Table1[[#This Row],[discount_in_percentage]]/100</f>
        <v>38400</v>
      </c>
      <c r="L13">
        <f>Table1[[#This Row],[total_sales]]-Table1[[#This Row],[discount_amount]]</f>
        <v>345600</v>
      </c>
    </row>
    <row r="14" spans="1:12" x14ac:dyDescent="0.3">
      <c r="A14" s="1">
        <v>45746</v>
      </c>
      <c r="B14" t="s">
        <v>48</v>
      </c>
      <c r="C14" t="s">
        <v>49</v>
      </c>
      <c r="D14" t="s">
        <v>19</v>
      </c>
      <c r="E14" t="s">
        <v>50</v>
      </c>
      <c r="F14" t="s">
        <v>44</v>
      </c>
      <c r="G14">
        <v>5</v>
      </c>
      <c r="H14">
        <v>28000</v>
      </c>
      <c r="I14">
        <v>12</v>
      </c>
      <c r="J14">
        <f t="shared" si="0"/>
        <v>140000</v>
      </c>
      <c r="K14">
        <f>Table1[[#This Row],[total_sales]]*Table1[[#This Row],[discount_in_percentage]]/100</f>
        <v>16800</v>
      </c>
      <c r="L14">
        <f>Table1[[#This Row],[total_sales]]-Table1[[#This Row],[discount_amount]]</f>
        <v>123200</v>
      </c>
    </row>
    <row r="15" spans="1:12" x14ac:dyDescent="0.3">
      <c r="A15" s="1">
        <v>45753</v>
      </c>
      <c r="B15" t="s">
        <v>51</v>
      </c>
      <c r="C15" t="s">
        <v>52</v>
      </c>
      <c r="D15" t="s">
        <v>19</v>
      </c>
      <c r="E15" t="s">
        <v>53</v>
      </c>
      <c r="F15" t="s">
        <v>44</v>
      </c>
      <c r="G15">
        <v>15</v>
      </c>
      <c r="H15">
        <v>7000</v>
      </c>
      <c r="I15">
        <v>8</v>
      </c>
      <c r="J15">
        <f t="shared" si="0"/>
        <v>105000</v>
      </c>
      <c r="K15">
        <f>Table1[[#This Row],[total_sales]]*Table1[[#This Row],[discount_in_percentage]]/100</f>
        <v>8400</v>
      </c>
      <c r="L15">
        <f>Table1[[#This Row],[total_sales]]-Table1[[#This Row],[discount_amount]]</f>
        <v>96600</v>
      </c>
    </row>
    <row r="16" spans="1:12" x14ac:dyDescent="0.3">
      <c r="A16" s="1">
        <v>45760</v>
      </c>
      <c r="B16" t="s">
        <v>54</v>
      </c>
      <c r="C16" t="s">
        <v>55</v>
      </c>
      <c r="D16" t="s">
        <v>29</v>
      </c>
      <c r="E16" t="s">
        <v>56</v>
      </c>
      <c r="F16" t="s">
        <v>44</v>
      </c>
      <c r="G16">
        <v>7</v>
      </c>
      <c r="H16">
        <v>26000</v>
      </c>
      <c r="I16">
        <v>10</v>
      </c>
      <c r="J16">
        <f t="shared" si="0"/>
        <v>182000</v>
      </c>
      <c r="K16">
        <f>Table1[[#This Row],[total_sales]]*Table1[[#This Row],[discount_in_percentage]]/100</f>
        <v>18200</v>
      </c>
      <c r="L16">
        <f>Table1[[#This Row],[total_sales]]-Table1[[#This Row],[discount_amount]]</f>
        <v>163800</v>
      </c>
    </row>
    <row r="17" spans="1:12" x14ac:dyDescent="0.3">
      <c r="A17" s="1">
        <v>45767</v>
      </c>
      <c r="B17" t="s">
        <v>57</v>
      </c>
      <c r="C17" t="s">
        <v>58</v>
      </c>
      <c r="D17" t="s">
        <v>29</v>
      </c>
      <c r="E17" t="s">
        <v>59</v>
      </c>
      <c r="F17" t="s">
        <v>44</v>
      </c>
      <c r="G17">
        <v>9</v>
      </c>
      <c r="H17">
        <v>33000</v>
      </c>
      <c r="I17">
        <v>11</v>
      </c>
      <c r="J17">
        <f t="shared" si="0"/>
        <v>297000</v>
      </c>
      <c r="K17">
        <f>Table1[[#This Row],[total_sales]]*Table1[[#This Row],[discount_in_percentage]]/100</f>
        <v>32670</v>
      </c>
      <c r="L17">
        <f>Table1[[#This Row],[total_sales]]-Table1[[#This Row],[discount_amount]]</f>
        <v>264330</v>
      </c>
    </row>
    <row r="18" spans="1:12" x14ac:dyDescent="0.3">
      <c r="A18" s="1">
        <v>45774</v>
      </c>
      <c r="B18" t="s">
        <v>60</v>
      </c>
      <c r="C18" t="s">
        <v>61</v>
      </c>
      <c r="D18" t="s">
        <v>11</v>
      </c>
      <c r="E18" t="s">
        <v>62</v>
      </c>
      <c r="F18" t="s">
        <v>44</v>
      </c>
      <c r="G18">
        <v>40</v>
      </c>
      <c r="H18">
        <v>2500</v>
      </c>
      <c r="I18">
        <v>18</v>
      </c>
      <c r="J18">
        <f t="shared" si="0"/>
        <v>100000</v>
      </c>
      <c r="K18">
        <f>Table1[[#This Row],[total_sales]]*Table1[[#This Row],[discount_in_percentage]]/100</f>
        <v>18000</v>
      </c>
      <c r="L18">
        <f>Table1[[#This Row],[total_sales]]-Table1[[#This Row],[discount_amount]]</f>
        <v>82000</v>
      </c>
    </row>
    <row r="19" spans="1:12" x14ac:dyDescent="0.3">
      <c r="A19" s="1">
        <v>45781</v>
      </c>
      <c r="B19" t="s">
        <v>63</v>
      </c>
      <c r="C19" t="s">
        <v>64</v>
      </c>
      <c r="D19" t="s">
        <v>11</v>
      </c>
      <c r="E19" t="s">
        <v>65</v>
      </c>
      <c r="F19" t="s">
        <v>44</v>
      </c>
      <c r="G19">
        <v>22</v>
      </c>
      <c r="H19">
        <v>9000</v>
      </c>
      <c r="I19">
        <v>15</v>
      </c>
      <c r="J19">
        <f t="shared" si="0"/>
        <v>198000</v>
      </c>
      <c r="K19">
        <f>Table1[[#This Row],[total_sales]]*Table1[[#This Row],[discount_in_percentage]]/100</f>
        <v>29700</v>
      </c>
      <c r="L19">
        <f>Table1[[#This Row],[total_sales]]-Table1[[#This Row],[discount_amount]]</f>
        <v>168300</v>
      </c>
    </row>
    <row r="20" spans="1:12" x14ac:dyDescent="0.3">
      <c r="A20" s="1">
        <v>45788</v>
      </c>
      <c r="B20" t="s">
        <v>66</v>
      </c>
      <c r="C20" t="s">
        <v>67</v>
      </c>
      <c r="D20" t="s">
        <v>39</v>
      </c>
      <c r="E20" t="s">
        <v>43</v>
      </c>
      <c r="F20" t="s">
        <v>44</v>
      </c>
      <c r="G20">
        <v>50</v>
      </c>
      <c r="H20">
        <v>800</v>
      </c>
      <c r="I20">
        <v>25</v>
      </c>
      <c r="J20">
        <f t="shared" si="0"/>
        <v>40000</v>
      </c>
      <c r="K20">
        <f>Table1[[#This Row],[total_sales]]*Table1[[#This Row],[discount_in_percentage]]/100</f>
        <v>10000</v>
      </c>
      <c r="L20">
        <f>Table1[[#This Row],[total_sales]]-Table1[[#This Row],[discount_amount]]</f>
        <v>30000</v>
      </c>
    </row>
    <row r="21" spans="1:12" x14ac:dyDescent="0.3">
      <c r="A21" s="1">
        <v>45795</v>
      </c>
      <c r="B21" t="s">
        <v>68</v>
      </c>
      <c r="C21" t="s">
        <v>69</v>
      </c>
      <c r="D21" t="s">
        <v>39</v>
      </c>
      <c r="E21" t="s">
        <v>47</v>
      </c>
      <c r="F21" t="s">
        <v>44</v>
      </c>
      <c r="G21">
        <v>30</v>
      </c>
      <c r="H21">
        <v>1800</v>
      </c>
      <c r="I21">
        <v>20</v>
      </c>
      <c r="J21">
        <f t="shared" si="0"/>
        <v>54000</v>
      </c>
      <c r="K21">
        <f>Table1[[#This Row],[total_sales]]*Table1[[#This Row],[discount_in_percentage]]/100</f>
        <v>10800</v>
      </c>
      <c r="L21">
        <f>Table1[[#This Row],[total_sales]]-Table1[[#This Row],[discount_amount]]</f>
        <v>43200</v>
      </c>
    </row>
    <row r="22" spans="1:12" x14ac:dyDescent="0.3">
      <c r="A22" s="1">
        <v>45802</v>
      </c>
      <c r="B22" t="s">
        <v>70</v>
      </c>
      <c r="C22" t="s">
        <v>10</v>
      </c>
      <c r="D22" t="s">
        <v>11</v>
      </c>
      <c r="E22" t="s">
        <v>71</v>
      </c>
      <c r="F22" t="s">
        <v>72</v>
      </c>
      <c r="G22">
        <v>11</v>
      </c>
      <c r="H22">
        <v>64000</v>
      </c>
      <c r="I22">
        <v>8</v>
      </c>
      <c r="J22">
        <f t="shared" si="0"/>
        <v>704000</v>
      </c>
      <c r="K22">
        <f>Table1[[#This Row],[total_sales]]*Table1[[#This Row],[discount_in_percentage]]/100</f>
        <v>56320</v>
      </c>
      <c r="L22">
        <f>Table1[[#This Row],[total_sales]]-Table1[[#This Row],[discount_amount]]</f>
        <v>647680</v>
      </c>
    </row>
    <row r="23" spans="1:12" x14ac:dyDescent="0.3">
      <c r="A23" s="1">
        <v>45809</v>
      </c>
      <c r="B23" t="s">
        <v>73</v>
      </c>
      <c r="C23" t="s">
        <v>74</v>
      </c>
      <c r="D23" t="s">
        <v>11</v>
      </c>
      <c r="E23" t="s">
        <v>75</v>
      </c>
      <c r="F23" t="s">
        <v>72</v>
      </c>
      <c r="G23">
        <v>32</v>
      </c>
      <c r="H23">
        <v>1200</v>
      </c>
      <c r="I23">
        <v>15</v>
      </c>
      <c r="J23">
        <f t="shared" si="0"/>
        <v>38400</v>
      </c>
      <c r="K23">
        <f>Table1[[#This Row],[total_sales]]*Table1[[#This Row],[discount_in_percentage]]/100</f>
        <v>5760</v>
      </c>
      <c r="L23">
        <f>Table1[[#This Row],[total_sales]]-Table1[[#This Row],[discount_amount]]</f>
        <v>32640</v>
      </c>
    </row>
    <row r="24" spans="1:12" x14ac:dyDescent="0.3">
      <c r="A24" s="1">
        <v>45816</v>
      </c>
      <c r="B24" t="s">
        <v>76</v>
      </c>
      <c r="C24" t="s">
        <v>77</v>
      </c>
      <c r="D24" t="s">
        <v>11</v>
      </c>
      <c r="E24" t="s">
        <v>78</v>
      </c>
      <c r="F24" t="s">
        <v>72</v>
      </c>
      <c r="G24">
        <v>40</v>
      </c>
      <c r="H24">
        <v>800</v>
      </c>
      <c r="I24">
        <v>18</v>
      </c>
      <c r="J24">
        <f t="shared" si="0"/>
        <v>32000</v>
      </c>
      <c r="K24">
        <f>Table1[[#This Row],[total_sales]]*Table1[[#This Row],[discount_in_percentage]]/100</f>
        <v>5760</v>
      </c>
      <c r="L24">
        <f>Table1[[#This Row],[total_sales]]-Table1[[#This Row],[discount_amount]]</f>
        <v>26240</v>
      </c>
    </row>
    <row r="25" spans="1:12" x14ac:dyDescent="0.3">
      <c r="A25" s="1">
        <v>45823</v>
      </c>
      <c r="B25" t="s">
        <v>79</v>
      </c>
      <c r="C25" t="s">
        <v>80</v>
      </c>
      <c r="D25" t="s">
        <v>19</v>
      </c>
      <c r="E25" t="s">
        <v>81</v>
      </c>
      <c r="F25" t="s">
        <v>72</v>
      </c>
      <c r="G25">
        <v>10</v>
      </c>
      <c r="H25">
        <v>9500</v>
      </c>
      <c r="I25">
        <v>10</v>
      </c>
      <c r="J25">
        <f t="shared" si="0"/>
        <v>95000</v>
      </c>
      <c r="K25">
        <f>Table1[[#This Row],[total_sales]]*Table1[[#This Row],[discount_in_percentage]]/100</f>
        <v>9500</v>
      </c>
      <c r="L25">
        <f>Table1[[#This Row],[total_sales]]-Table1[[#This Row],[discount_amount]]</f>
        <v>85500</v>
      </c>
    </row>
    <row r="26" spans="1:12" x14ac:dyDescent="0.3">
      <c r="A26" s="1">
        <v>45830</v>
      </c>
      <c r="B26" t="s">
        <v>82</v>
      </c>
      <c r="C26" t="s">
        <v>83</v>
      </c>
      <c r="D26" t="s">
        <v>19</v>
      </c>
      <c r="E26" t="s">
        <v>84</v>
      </c>
      <c r="F26" t="s">
        <v>72</v>
      </c>
      <c r="G26">
        <v>13</v>
      </c>
      <c r="H26">
        <v>6500</v>
      </c>
      <c r="I26">
        <v>12</v>
      </c>
      <c r="J26">
        <f t="shared" si="0"/>
        <v>84500</v>
      </c>
      <c r="K26">
        <f>Table1[[#This Row],[total_sales]]*Table1[[#This Row],[discount_in_percentage]]/100</f>
        <v>10140</v>
      </c>
      <c r="L26">
        <f>Table1[[#This Row],[total_sales]]-Table1[[#This Row],[discount_amount]]</f>
        <v>74360</v>
      </c>
    </row>
    <row r="27" spans="1:12" x14ac:dyDescent="0.3">
      <c r="A27" s="1">
        <v>45837</v>
      </c>
      <c r="B27" t="s">
        <v>85</v>
      </c>
      <c r="C27" t="s">
        <v>86</v>
      </c>
      <c r="D27" t="s">
        <v>29</v>
      </c>
      <c r="E27" t="s">
        <v>87</v>
      </c>
      <c r="F27" t="s">
        <v>72</v>
      </c>
      <c r="G27">
        <v>18</v>
      </c>
      <c r="H27">
        <v>2800</v>
      </c>
      <c r="I27">
        <v>10</v>
      </c>
      <c r="J27">
        <f t="shared" si="0"/>
        <v>50400</v>
      </c>
      <c r="K27">
        <f>Table1[[#This Row],[total_sales]]*Table1[[#This Row],[discount_in_percentage]]/100</f>
        <v>5040</v>
      </c>
      <c r="L27">
        <f>Table1[[#This Row],[total_sales]]-Table1[[#This Row],[discount_amount]]</f>
        <v>45360</v>
      </c>
    </row>
    <row r="28" spans="1:12" x14ac:dyDescent="0.3">
      <c r="A28" s="1">
        <v>45844</v>
      </c>
      <c r="B28" t="s">
        <v>88</v>
      </c>
      <c r="C28" t="s">
        <v>89</v>
      </c>
      <c r="D28" t="s">
        <v>29</v>
      </c>
      <c r="E28" t="s">
        <v>90</v>
      </c>
      <c r="F28" t="s">
        <v>72</v>
      </c>
      <c r="G28">
        <v>12</v>
      </c>
      <c r="H28">
        <v>8500</v>
      </c>
      <c r="I28">
        <v>15</v>
      </c>
      <c r="J28">
        <f t="shared" si="0"/>
        <v>102000</v>
      </c>
      <c r="K28">
        <f>Table1[[#This Row],[total_sales]]*Table1[[#This Row],[discount_in_percentage]]/100</f>
        <v>15300</v>
      </c>
      <c r="L28">
        <f>Table1[[#This Row],[total_sales]]-Table1[[#This Row],[discount_amount]]</f>
        <v>86700</v>
      </c>
    </row>
    <row r="29" spans="1:12" x14ac:dyDescent="0.3">
      <c r="A29" s="1">
        <v>45851</v>
      </c>
      <c r="B29" t="s">
        <v>91</v>
      </c>
      <c r="C29" t="s">
        <v>92</v>
      </c>
      <c r="D29" t="s">
        <v>11</v>
      </c>
      <c r="E29" t="s">
        <v>93</v>
      </c>
      <c r="F29" t="s">
        <v>72</v>
      </c>
      <c r="G29">
        <v>8</v>
      </c>
      <c r="H29">
        <v>38000</v>
      </c>
      <c r="I29">
        <v>7</v>
      </c>
      <c r="J29">
        <f t="shared" si="0"/>
        <v>304000</v>
      </c>
      <c r="K29">
        <f>Table1[[#This Row],[total_sales]]*Table1[[#This Row],[discount_in_percentage]]/100</f>
        <v>21280</v>
      </c>
      <c r="L29">
        <f>Table1[[#This Row],[total_sales]]-Table1[[#This Row],[discount_amount]]</f>
        <v>282720</v>
      </c>
    </row>
    <row r="30" spans="1:12" x14ac:dyDescent="0.3">
      <c r="A30" s="1">
        <v>45858</v>
      </c>
      <c r="B30" t="s">
        <v>94</v>
      </c>
      <c r="C30" t="s">
        <v>95</v>
      </c>
      <c r="D30" t="s">
        <v>39</v>
      </c>
      <c r="E30" t="s">
        <v>71</v>
      </c>
      <c r="F30" t="s">
        <v>72</v>
      </c>
      <c r="G30">
        <v>24</v>
      </c>
      <c r="H30">
        <v>3200</v>
      </c>
      <c r="I30">
        <v>20</v>
      </c>
      <c r="J30">
        <f t="shared" si="0"/>
        <v>76800</v>
      </c>
      <c r="K30">
        <f>Table1[[#This Row],[total_sales]]*Table1[[#This Row],[discount_in_percentage]]/100</f>
        <v>15360</v>
      </c>
      <c r="L30">
        <f>Table1[[#This Row],[total_sales]]-Table1[[#This Row],[discount_amount]]</f>
        <v>61440</v>
      </c>
    </row>
    <row r="31" spans="1:12" x14ac:dyDescent="0.3">
      <c r="A31" s="1">
        <v>45865</v>
      </c>
      <c r="B31" t="s">
        <v>96</v>
      </c>
      <c r="C31" t="s">
        <v>97</v>
      </c>
      <c r="D31" t="s">
        <v>39</v>
      </c>
      <c r="E31" t="s">
        <v>78</v>
      </c>
      <c r="F31" t="s">
        <v>72</v>
      </c>
      <c r="G31">
        <v>30</v>
      </c>
      <c r="H31">
        <v>1500</v>
      </c>
      <c r="I31">
        <v>18</v>
      </c>
      <c r="J31">
        <f t="shared" si="0"/>
        <v>45000</v>
      </c>
      <c r="K31">
        <f>Table1[[#This Row],[total_sales]]*Table1[[#This Row],[discount_in_percentage]]/100</f>
        <v>8100</v>
      </c>
      <c r="L31">
        <f>Table1[[#This Row],[total_sales]]-Table1[[#This Row],[discount_amount]]</f>
        <v>36900</v>
      </c>
    </row>
    <row r="32" spans="1:12" x14ac:dyDescent="0.3">
      <c r="A32" s="1">
        <v>45872</v>
      </c>
      <c r="B32" t="s">
        <v>98</v>
      </c>
      <c r="C32" t="s">
        <v>10</v>
      </c>
      <c r="D32" t="s">
        <v>11</v>
      </c>
      <c r="E32" t="s">
        <v>99</v>
      </c>
      <c r="F32" t="s">
        <v>100</v>
      </c>
      <c r="G32">
        <v>14</v>
      </c>
      <c r="H32">
        <v>67000</v>
      </c>
      <c r="I32">
        <v>10</v>
      </c>
      <c r="J32">
        <f t="shared" si="0"/>
        <v>938000</v>
      </c>
      <c r="K32">
        <f>Table1[[#This Row],[total_sales]]*Table1[[#This Row],[discount_in_percentage]]/100</f>
        <v>93800</v>
      </c>
      <c r="L32">
        <f>Table1[[#This Row],[total_sales]]-Table1[[#This Row],[discount_amount]]</f>
        <v>844200</v>
      </c>
    </row>
    <row r="33" spans="1:12" x14ac:dyDescent="0.3">
      <c r="A33" s="1">
        <v>45879</v>
      </c>
      <c r="B33" t="s">
        <v>101</v>
      </c>
      <c r="C33" t="s">
        <v>15</v>
      </c>
      <c r="D33" t="s">
        <v>11</v>
      </c>
      <c r="E33" t="s">
        <v>102</v>
      </c>
      <c r="F33" t="s">
        <v>100</v>
      </c>
      <c r="G33">
        <v>26</v>
      </c>
      <c r="H33">
        <v>30000</v>
      </c>
      <c r="I33">
        <v>9</v>
      </c>
      <c r="J33">
        <f t="shared" si="0"/>
        <v>780000</v>
      </c>
      <c r="K33">
        <f>Table1[[#This Row],[total_sales]]*Table1[[#This Row],[discount_in_percentage]]/100</f>
        <v>70200</v>
      </c>
      <c r="L33">
        <f>Table1[[#This Row],[total_sales]]-Table1[[#This Row],[discount_amount]]</f>
        <v>709800</v>
      </c>
    </row>
    <row r="34" spans="1:12" x14ac:dyDescent="0.3">
      <c r="A34" s="1">
        <v>45886</v>
      </c>
      <c r="B34" t="s">
        <v>103</v>
      </c>
      <c r="C34" t="s">
        <v>104</v>
      </c>
      <c r="D34" t="s">
        <v>19</v>
      </c>
      <c r="E34" t="s">
        <v>105</v>
      </c>
      <c r="F34" t="s">
        <v>100</v>
      </c>
      <c r="G34">
        <v>20</v>
      </c>
      <c r="H34">
        <v>4200</v>
      </c>
      <c r="I34">
        <v>14</v>
      </c>
      <c r="J34">
        <f t="shared" si="0"/>
        <v>84000</v>
      </c>
      <c r="K34">
        <f>Table1[[#This Row],[total_sales]]*Table1[[#This Row],[discount_in_percentage]]/100</f>
        <v>11760</v>
      </c>
      <c r="L34">
        <f>Table1[[#This Row],[total_sales]]-Table1[[#This Row],[discount_amount]]</f>
        <v>72240</v>
      </c>
    </row>
    <row r="35" spans="1:12" x14ac:dyDescent="0.3">
      <c r="A35" s="1">
        <v>45893</v>
      </c>
      <c r="B35" t="s">
        <v>106</v>
      </c>
      <c r="C35" t="s">
        <v>107</v>
      </c>
      <c r="D35" t="s">
        <v>19</v>
      </c>
      <c r="E35" t="s">
        <v>108</v>
      </c>
      <c r="F35" t="s">
        <v>100</v>
      </c>
      <c r="G35">
        <v>11</v>
      </c>
      <c r="H35">
        <v>7800</v>
      </c>
      <c r="I35">
        <v>10</v>
      </c>
      <c r="J35">
        <f t="shared" si="0"/>
        <v>85800</v>
      </c>
      <c r="K35">
        <f>Table1[[#This Row],[total_sales]]*Table1[[#This Row],[discount_in_percentage]]/100</f>
        <v>8580</v>
      </c>
      <c r="L35">
        <f>Table1[[#This Row],[total_sales]]-Table1[[#This Row],[discount_amount]]</f>
        <v>77220</v>
      </c>
    </row>
    <row r="36" spans="1:12" x14ac:dyDescent="0.3">
      <c r="A36" s="1">
        <v>45900</v>
      </c>
      <c r="B36" t="s">
        <v>109</v>
      </c>
      <c r="C36" t="s">
        <v>110</v>
      </c>
      <c r="D36" t="s">
        <v>29</v>
      </c>
      <c r="E36" t="s">
        <v>111</v>
      </c>
      <c r="F36" t="s">
        <v>100</v>
      </c>
      <c r="G36">
        <v>15</v>
      </c>
      <c r="H36">
        <v>3500</v>
      </c>
      <c r="I36">
        <v>12</v>
      </c>
      <c r="J36">
        <f t="shared" si="0"/>
        <v>52500</v>
      </c>
      <c r="K36">
        <f>Table1[[#This Row],[total_sales]]*Table1[[#This Row],[discount_in_percentage]]/100</f>
        <v>6300</v>
      </c>
      <c r="L36">
        <f>Table1[[#This Row],[total_sales]]-Table1[[#This Row],[discount_amount]]</f>
        <v>46200</v>
      </c>
    </row>
    <row r="37" spans="1:12" x14ac:dyDescent="0.3">
      <c r="A37" s="1">
        <v>45907</v>
      </c>
      <c r="B37" t="s">
        <v>112</v>
      </c>
      <c r="C37" t="s">
        <v>113</v>
      </c>
      <c r="D37" t="s">
        <v>29</v>
      </c>
      <c r="E37" t="s">
        <v>114</v>
      </c>
      <c r="F37" t="s">
        <v>100</v>
      </c>
      <c r="G37">
        <v>9</v>
      </c>
      <c r="H37">
        <v>14500</v>
      </c>
      <c r="I37">
        <v>10</v>
      </c>
      <c r="J37">
        <f t="shared" si="0"/>
        <v>130500</v>
      </c>
      <c r="K37">
        <f>Table1[[#This Row],[total_sales]]*Table1[[#This Row],[discount_in_percentage]]/100</f>
        <v>13050</v>
      </c>
      <c r="L37">
        <f>Table1[[#This Row],[total_sales]]-Table1[[#This Row],[discount_amount]]</f>
        <v>117450</v>
      </c>
    </row>
    <row r="38" spans="1:12" x14ac:dyDescent="0.3">
      <c r="A38" s="1">
        <v>45914</v>
      </c>
      <c r="B38" t="s">
        <v>115</v>
      </c>
      <c r="C38" t="s">
        <v>116</v>
      </c>
      <c r="D38" t="s">
        <v>29</v>
      </c>
      <c r="E38" t="s">
        <v>117</v>
      </c>
      <c r="F38" t="s">
        <v>100</v>
      </c>
      <c r="G38">
        <v>7</v>
      </c>
      <c r="H38">
        <v>12000</v>
      </c>
      <c r="I38">
        <v>15</v>
      </c>
      <c r="J38">
        <f t="shared" si="0"/>
        <v>84000</v>
      </c>
      <c r="K38">
        <f>Table1[[#This Row],[total_sales]]*Table1[[#This Row],[discount_in_percentage]]/100</f>
        <v>12600</v>
      </c>
      <c r="L38">
        <f>Table1[[#This Row],[total_sales]]-Table1[[#This Row],[discount_amount]]</f>
        <v>71400</v>
      </c>
    </row>
    <row r="39" spans="1:12" x14ac:dyDescent="0.3">
      <c r="A39" s="1">
        <v>45921</v>
      </c>
      <c r="B39" t="s">
        <v>118</v>
      </c>
      <c r="C39" t="s">
        <v>119</v>
      </c>
      <c r="D39" t="s">
        <v>11</v>
      </c>
      <c r="E39" t="s">
        <v>120</v>
      </c>
      <c r="F39" t="s">
        <v>100</v>
      </c>
      <c r="G39">
        <v>28</v>
      </c>
      <c r="H39">
        <v>4500</v>
      </c>
      <c r="I39">
        <v>18</v>
      </c>
      <c r="J39">
        <f t="shared" si="0"/>
        <v>126000</v>
      </c>
      <c r="K39">
        <f>Table1[[#This Row],[total_sales]]*Table1[[#This Row],[discount_in_percentage]]/100</f>
        <v>22680</v>
      </c>
      <c r="L39">
        <f>Table1[[#This Row],[total_sales]]-Table1[[#This Row],[discount_amount]]</f>
        <v>103320</v>
      </c>
    </row>
    <row r="40" spans="1:12" x14ac:dyDescent="0.3">
      <c r="A40" s="1">
        <v>45928</v>
      </c>
      <c r="B40" t="s">
        <v>121</v>
      </c>
      <c r="C40" t="s">
        <v>122</v>
      </c>
      <c r="D40" t="s">
        <v>39</v>
      </c>
      <c r="E40" t="s">
        <v>99</v>
      </c>
      <c r="F40" t="s">
        <v>100</v>
      </c>
      <c r="G40">
        <v>34</v>
      </c>
      <c r="H40">
        <v>2200</v>
      </c>
      <c r="I40">
        <v>20</v>
      </c>
      <c r="J40">
        <f t="shared" si="0"/>
        <v>74800</v>
      </c>
      <c r="K40">
        <f>Table1[[#This Row],[total_sales]]*Table1[[#This Row],[discount_in_percentage]]/100</f>
        <v>14960</v>
      </c>
      <c r="L40">
        <f>Table1[[#This Row],[total_sales]]-Table1[[#This Row],[discount_amount]]</f>
        <v>59840</v>
      </c>
    </row>
    <row r="41" spans="1:12" x14ac:dyDescent="0.3">
      <c r="A41" s="1">
        <v>45935</v>
      </c>
      <c r="B41" t="s">
        <v>123</v>
      </c>
      <c r="C41" t="s">
        <v>124</v>
      </c>
      <c r="D41" t="s">
        <v>39</v>
      </c>
      <c r="E41" t="s">
        <v>102</v>
      </c>
      <c r="F41" t="s">
        <v>100</v>
      </c>
      <c r="G41">
        <v>45</v>
      </c>
      <c r="H41">
        <v>600</v>
      </c>
      <c r="I41">
        <v>25</v>
      </c>
      <c r="J41">
        <f t="shared" si="0"/>
        <v>27000</v>
      </c>
      <c r="K41">
        <f>Table1[[#This Row],[total_sales]]*Table1[[#This Row],[discount_in_percentage]]/100</f>
        <v>6750</v>
      </c>
      <c r="L41">
        <f>Table1[[#This Row],[total_sales]]-Table1[[#This Row],[discount_amount]]</f>
        <v>20250</v>
      </c>
    </row>
    <row r="42" spans="1:12" x14ac:dyDescent="0.3">
      <c r="A42" s="1">
        <v>45942</v>
      </c>
      <c r="B42" t="s">
        <v>125</v>
      </c>
      <c r="C42" t="s">
        <v>126</v>
      </c>
      <c r="D42" t="s">
        <v>11</v>
      </c>
      <c r="E42" t="s">
        <v>12</v>
      </c>
      <c r="F42" t="s">
        <v>13</v>
      </c>
      <c r="G42">
        <v>6</v>
      </c>
      <c r="H42">
        <v>52000</v>
      </c>
      <c r="I42">
        <v>8</v>
      </c>
      <c r="J42">
        <f t="shared" si="0"/>
        <v>312000</v>
      </c>
      <c r="K42">
        <f>Table1[[#This Row],[total_sales]]*Table1[[#This Row],[discount_in_percentage]]/100</f>
        <v>24960</v>
      </c>
      <c r="L42">
        <f>Table1[[#This Row],[total_sales]]-Table1[[#This Row],[discount_amount]]</f>
        <v>287040</v>
      </c>
    </row>
    <row r="43" spans="1:12" x14ac:dyDescent="0.3">
      <c r="A43" s="1">
        <v>45949</v>
      </c>
      <c r="B43" t="s">
        <v>127</v>
      </c>
      <c r="C43" t="s">
        <v>128</v>
      </c>
      <c r="D43" t="s">
        <v>11</v>
      </c>
      <c r="E43" t="s">
        <v>43</v>
      </c>
      <c r="F43" t="s">
        <v>44</v>
      </c>
      <c r="G43">
        <v>17</v>
      </c>
      <c r="H43">
        <v>14500</v>
      </c>
      <c r="I43">
        <v>10</v>
      </c>
      <c r="J43">
        <f t="shared" si="0"/>
        <v>246500</v>
      </c>
      <c r="K43">
        <f>Table1[[#This Row],[total_sales]]*Table1[[#This Row],[discount_in_percentage]]/100</f>
        <v>24650</v>
      </c>
      <c r="L43">
        <f>Table1[[#This Row],[total_sales]]-Table1[[#This Row],[discount_amount]]</f>
        <v>221850</v>
      </c>
    </row>
    <row r="44" spans="1:12" x14ac:dyDescent="0.3">
      <c r="A44" s="1">
        <v>45956</v>
      </c>
      <c r="B44" t="s">
        <v>129</v>
      </c>
      <c r="C44" t="s">
        <v>130</v>
      </c>
      <c r="D44" t="s">
        <v>11</v>
      </c>
      <c r="E44" t="s">
        <v>75</v>
      </c>
      <c r="F44" t="s">
        <v>72</v>
      </c>
      <c r="G44">
        <v>22</v>
      </c>
      <c r="H44">
        <v>2800</v>
      </c>
      <c r="I44">
        <v>12</v>
      </c>
      <c r="J44">
        <f t="shared" si="0"/>
        <v>61600</v>
      </c>
      <c r="K44">
        <f>Table1[[#This Row],[total_sales]]*Table1[[#This Row],[discount_in_percentage]]/100</f>
        <v>7392</v>
      </c>
      <c r="L44">
        <f>Table1[[#This Row],[total_sales]]-Table1[[#This Row],[discount_amount]]</f>
        <v>54208</v>
      </c>
    </row>
    <row r="45" spans="1:12" x14ac:dyDescent="0.3">
      <c r="A45" s="1">
        <v>45963</v>
      </c>
      <c r="B45" t="s">
        <v>131</v>
      </c>
      <c r="C45" t="s">
        <v>132</v>
      </c>
      <c r="D45" t="s">
        <v>11</v>
      </c>
      <c r="E45" t="s">
        <v>99</v>
      </c>
      <c r="F45" t="s">
        <v>100</v>
      </c>
      <c r="G45">
        <v>36</v>
      </c>
      <c r="H45">
        <v>1800</v>
      </c>
      <c r="I45">
        <v>15</v>
      </c>
      <c r="J45">
        <f t="shared" si="0"/>
        <v>64800</v>
      </c>
      <c r="K45">
        <f>Table1[[#This Row],[total_sales]]*Table1[[#This Row],[discount_in_percentage]]/100</f>
        <v>9720</v>
      </c>
      <c r="L45">
        <f>Table1[[#This Row],[total_sales]]-Table1[[#This Row],[discount_amount]]</f>
        <v>55080</v>
      </c>
    </row>
    <row r="46" spans="1:12" x14ac:dyDescent="0.3">
      <c r="A46" s="1">
        <v>45970</v>
      </c>
      <c r="B46" t="s">
        <v>133</v>
      </c>
      <c r="C46" t="s">
        <v>134</v>
      </c>
      <c r="D46" t="s">
        <v>29</v>
      </c>
      <c r="E46" t="s">
        <v>16</v>
      </c>
      <c r="F46" t="s">
        <v>13</v>
      </c>
      <c r="G46">
        <v>10</v>
      </c>
      <c r="H46">
        <v>8500</v>
      </c>
      <c r="I46">
        <v>18</v>
      </c>
      <c r="J46">
        <f t="shared" si="0"/>
        <v>85000</v>
      </c>
      <c r="K46">
        <f>Table1[[#This Row],[total_sales]]*Table1[[#This Row],[discount_in_percentage]]/100</f>
        <v>15300</v>
      </c>
      <c r="L46">
        <f>Table1[[#This Row],[total_sales]]-Table1[[#This Row],[discount_amount]]</f>
        <v>69700</v>
      </c>
    </row>
    <row r="47" spans="1:12" x14ac:dyDescent="0.3">
      <c r="A47" s="1">
        <v>45977</v>
      </c>
      <c r="B47" t="s">
        <v>135</v>
      </c>
      <c r="C47" t="s">
        <v>136</v>
      </c>
      <c r="D47" t="s">
        <v>19</v>
      </c>
      <c r="E47" t="s">
        <v>47</v>
      </c>
      <c r="F47" t="s">
        <v>44</v>
      </c>
      <c r="G47">
        <v>4</v>
      </c>
      <c r="H47">
        <v>32000</v>
      </c>
      <c r="I47">
        <v>10</v>
      </c>
      <c r="J47">
        <f t="shared" si="0"/>
        <v>128000</v>
      </c>
      <c r="K47">
        <f>Table1[[#This Row],[total_sales]]*Table1[[#This Row],[discount_in_percentage]]/100</f>
        <v>12800</v>
      </c>
      <c r="L47">
        <f>Table1[[#This Row],[total_sales]]-Table1[[#This Row],[discount_amount]]</f>
        <v>115200</v>
      </c>
    </row>
    <row r="48" spans="1:12" x14ac:dyDescent="0.3">
      <c r="A48" s="1">
        <v>45984</v>
      </c>
      <c r="B48" t="s">
        <v>137</v>
      </c>
      <c r="C48" t="s">
        <v>138</v>
      </c>
      <c r="D48" t="s">
        <v>11</v>
      </c>
      <c r="E48" t="s">
        <v>75</v>
      </c>
      <c r="F48" t="s">
        <v>72</v>
      </c>
      <c r="G48">
        <v>18</v>
      </c>
      <c r="H48">
        <v>2500</v>
      </c>
      <c r="I48">
        <v>12</v>
      </c>
      <c r="J48">
        <f t="shared" si="0"/>
        <v>45000</v>
      </c>
      <c r="K48">
        <f>Table1[[#This Row],[total_sales]]*Table1[[#This Row],[discount_in_percentage]]/100</f>
        <v>5400</v>
      </c>
      <c r="L48">
        <f>Table1[[#This Row],[total_sales]]-Table1[[#This Row],[discount_amount]]</f>
        <v>39600</v>
      </c>
    </row>
    <row r="49" spans="1:12" x14ac:dyDescent="0.3">
      <c r="A49" s="1">
        <v>45991</v>
      </c>
      <c r="B49" t="s">
        <v>139</v>
      </c>
      <c r="C49" t="s">
        <v>140</v>
      </c>
      <c r="D49" t="s">
        <v>29</v>
      </c>
      <c r="E49" t="s">
        <v>105</v>
      </c>
      <c r="F49" t="s">
        <v>100</v>
      </c>
      <c r="G49">
        <v>27</v>
      </c>
      <c r="H49">
        <v>1200</v>
      </c>
      <c r="I49">
        <v>20</v>
      </c>
      <c r="J49">
        <f t="shared" si="0"/>
        <v>32400</v>
      </c>
      <c r="K49">
        <f>Table1[[#This Row],[total_sales]]*Table1[[#This Row],[discount_in_percentage]]/100</f>
        <v>6480</v>
      </c>
      <c r="L49">
        <f>Table1[[#This Row],[total_sales]]-Table1[[#This Row],[discount_amount]]</f>
        <v>25920</v>
      </c>
    </row>
    <row r="50" spans="1:12" x14ac:dyDescent="0.3">
      <c r="A50" s="1">
        <v>45998</v>
      </c>
      <c r="B50" t="s">
        <v>141</v>
      </c>
      <c r="C50" t="s">
        <v>142</v>
      </c>
      <c r="D50" t="s">
        <v>39</v>
      </c>
      <c r="E50" t="s">
        <v>20</v>
      </c>
      <c r="F50" t="s">
        <v>13</v>
      </c>
      <c r="G50">
        <v>21</v>
      </c>
      <c r="H50">
        <v>2800</v>
      </c>
      <c r="I50">
        <v>15</v>
      </c>
      <c r="J50">
        <f t="shared" si="0"/>
        <v>58800</v>
      </c>
      <c r="K50">
        <f>Table1[[#This Row],[total_sales]]*Table1[[#This Row],[discount_in_percentage]]/100</f>
        <v>8820</v>
      </c>
      <c r="L50">
        <f>Table1[[#This Row],[total_sales]]-Table1[[#This Row],[discount_amount]]</f>
        <v>49980</v>
      </c>
    </row>
    <row r="51" spans="1:12" x14ac:dyDescent="0.3">
      <c r="A51" s="1">
        <v>46005</v>
      </c>
      <c r="B51" t="s">
        <v>143</v>
      </c>
      <c r="C51" t="s">
        <v>144</v>
      </c>
      <c r="D51" t="s">
        <v>19</v>
      </c>
      <c r="E51" t="s">
        <v>50</v>
      </c>
      <c r="F51" t="s">
        <v>44</v>
      </c>
      <c r="G51">
        <v>8</v>
      </c>
      <c r="H51">
        <v>15000</v>
      </c>
      <c r="I51">
        <v>10</v>
      </c>
      <c r="J51">
        <f t="shared" si="0"/>
        <v>120000</v>
      </c>
      <c r="K51">
        <f>Table1[[#This Row],[total_sales]]*Table1[[#This Row],[discount_in_percentage]]/100</f>
        <v>12000</v>
      </c>
      <c r="L51">
        <f>Table1[[#This Row],[total_sales]]-Table1[[#This Row],[discount_amount]]</f>
        <v>108000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6C2D-876D-4DBC-8CFC-97750498DDDE}">
  <dimension ref="A3:L26"/>
  <sheetViews>
    <sheetView workbookViewId="0">
      <selection activeCell="L19" sqref="L19"/>
    </sheetView>
  </sheetViews>
  <sheetFormatPr defaultRowHeight="14.4" x14ac:dyDescent="0.3"/>
  <cols>
    <col min="1" max="1" width="12.5546875" bestFit="1" customWidth="1"/>
    <col min="2" max="2" width="15.33203125" bestFit="1" customWidth="1"/>
    <col min="5" max="5" width="15.109375" bestFit="1" customWidth="1"/>
    <col min="6" max="6" width="31.33203125" bestFit="1" customWidth="1"/>
    <col min="8" max="8" width="15.44140625" bestFit="1" customWidth="1"/>
    <col min="9" max="9" width="15.33203125" bestFit="1" customWidth="1"/>
    <col min="11" max="11" width="15.33203125" bestFit="1" customWidth="1"/>
    <col min="12" max="12" width="18.44140625" customWidth="1"/>
  </cols>
  <sheetData>
    <row r="3" spans="1:12" x14ac:dyDescent="0.3">
      <c r="A3" s="2" t="s">
        <v>145</v>
      </c>
      <c r="B3" t="s">
        <v>165</v>
      </c>
      <c r="E3" s="2" t="s">
        <v>145</v>
      </c>
      <c r="F3" t="s">
        <v>165</v>
      </c>
      <c r="H3" s="2" t="s">
        <v>145</v>
      </c>
      <c r="I3" t="s">
        <v>165</v>
      </c>
      <c r="K3" s="2" t="s">
        <v>145</v>
      </c>
      <c r="L3" t="s">
        <v>167</v>
      </c>
    </row>
    <row r="4" spans="1:12" x14ac:dyDescent="0.3">
      <c r="A4" s="3" t="s">
        <v>153</v>
      </c>
      <c r="B4" s="7">
        <v>1555520</v>
      </c>
      <c r="E4" s="3" t="s">
        <v>11</v>
      </c>
      <c r="F4" s="7">
        <v>5924478</v>
      </c>
      <c r="H4" s="3" t="s">
        <v>44</v>
      </c>
      <c r="I4" s="7">
        <v>2326280</v>
      </c>
      <c r="K4" s="3" t="s">
        <v>11</v>
      </c>
      <c r="L4" s="7">
        <v>393</v>
      </c>
    </row>
    <row r="5" spans="1:12" x14ac:dyDescent="0.3">
      <c r="A5" s="3" t="s">
        <v>154</v>
      </c>
      <c r="B5" s="7">
        <v>515240</v>
      </c>
      <c r="E5" s="3" t="s">
        <v>39</v>
      </c>
      <c r="F5" s="7">
        <v>406050</v>
      </c>
      <c r="H5" s="3" t="s">
        <v>100</v>
      </c>
      <c r="I5" s="7">
        <v>2202920</v>
      </c>
      <c r="K5" s="3" t="s">
        <v>39</v>
      </c>
      <c r="L5" s="7">
        <v>297</v>
      </c>
    </row>
    <row r="6" spans="1:12" x14ac:dyDescent="0.3">
      <c r="A6" s="3" t="s">
        <v>155</v>
      </c>
      <c r="B6" s="7">
        <v>1137440</v>
      </c>
      <c r="E6" s="3" t="s">
        <v>19</v>
      </c>
      <c r="F6" s="7">
        <v>961840</v>
      </c>
      <c r="H6" s="3" t="s">
        <v>13</v>
      </c>
      <c r="I6" s="7">
        <v>2581920</v>
      </c>
      <c r="K6" s="3" t="s">
        <v>19</v>
      </c>
      <c r="L6" s="7">
        <v>112</v>
      </c>
    </row>
    <row r="7" spans="1:12" x14ac:dyDescent="0.3">
      <c r="A7" s="3" t="s">
        <v>156</v>
      </c>
      <c r="B7" s="7">
        <v>606730</v>
      </c>
      <c r="E7" s="3" t="s">
        <v>29</v>
      </c>
      <c r="F7" s="7">
        <v>1292100</v>
      </c>
      <c r="H7" s="3" t="s">
        <v>72</v>
      </c>
      <c r="I7" s="7">
        <v>1473348</v>
      </c>
      <c r="K7" s="3" t="s">
        <v>29</v>
      </c>
      <c r="L7" s="7">
        <v>154</v>
      </c>
    </row>
    <row r="8" spans="1:12" x14ac:dyDescent="0.3">
      <c r="A8" s="3" t="s">
        <v>157</v>
      </c>
      <c r="B8" s="7">
        <v>889180</v>
      </c>
      <c r="E8" s="3" t="s">
        <v>146</v>
      </c>
      <c r="F8" s="7">
        <v>8584468</v>
      </c>
      <c r="H8" s="3" t="s">
        <v>146</v>
      </c>
      <c r="I8" s="7">
        <v>8584468</v>
      </c>
      <c r="K8" s="3" t="s">
        <v>146</v>
      </c>
      <c r="L8" s="7">
        <v>956</v>
      </c>
    </row>
    <row r="9" spans="1:12" x14ac:dyDescent="0.3">
      <c r="A9" s="3" t="s">
        <v>158</v>
      </c>
      <c r="B9" s="7">
        <v>264100</v>
      </c>
    </row>
    <row r="10" spans="1:12" x14ac:dyDescent="0.3">
      <c r="A10" s="3" t="s">
        <v>159</v>
      </c>
      <c r="B10" s="7">
        <v>467760</v>
      </c>
    </row>
    <row r="11" spans="1:12" x14ac:dyDescent="0.3">
      <c r="A11" s="3" t="s">
        <v>160</v>
      </c>
      <c r="B11" s="7">
        <v>1749660</v>
      </c>
    </row>
    <row r="12" spans="1:12" x14ac:dyDescent="0.3">
      <c r="A12" s="3" t="s">
        <v>161</v>
      </c>
      <c r="B12" s="7">
        <v>352010</v>
      </c>
    </row>
    <row r="13" spans="1:12" x14ac:dyDescent="0.3">
      <c r="A13" s="3" t="s">
        <v>162</v>
      </c>
      <c r="B13" s="7">
        <v>583348</v>
      </c>
    </row>
    <row r="14" spans="1:12" x14ac:dyDescent="0.3">
      <c r="A14" s="3" t="s">
        <v>163</v>
      </c>
      <c r="B14" s="7">
        <v>305500</v>
      </c>
    </row>
    <row r="15" spans="1:12" x14ac:dyDescent="0.3">
      <c r="A15" s="3" t="s">
        <v>164</v>
      </c>
      <c r="B15" s="7">
        <v>157980</v>
      </c>
      <c r="E15" s="2" t="s">
        <v>145</v>
      </c>
      <c r="F15" t="s">
        <v>168</v>
      </c>
      <c r="H15" s="2" t="s">
        <v>145</v>
      </c>
      <c r="I15" t="s">
        <v>165</v>
      </c>
    </row>
    <row r="16" spans="1:12" x14ac:dyDescent="0.3">
      <c r="A16" s="3" t="s">
        <v>146</v>
      </c>
      <c r="B16" s="7">
        <v>8584468</v>
      </c>
      <c r="E16" s="3" t="s">
        <v>11</v>
      </c>
      <c r="F16" s="6">
        <v>11.421052631578947</v>
      </c>
      <c r="H16" s="3" t="s">
        <v>55</v>
      </c>
      <c r="I16" s="7">
        <v>163800</v>
      </c>
    </row>
    <row r="17" spans="5:12" x14ac:dyDescent="0.3">
      <c r="E17" s="3" t="s">
        <v>39</v>
      </c>
      <c r="F17" s="6">
        <v>19.777777777777779</v>
      </c>
      <c r="H17" s="3" t="s">
        <v>64</v>
      </c>
      <c r="I17" s="7">
        <v>168300</v>
      </c>
      <c r="K17" t="s">
        <v>166</v>
      </c>
      <c r="L17">
        <f>SUM(GETPIVOTDATA("net_sales",$A$3))</f>
        <v>8584468</v>
      </c>
    </row>
    <row r="18" spans="5:12" x14ac:dyDescent="0.3">
      <c r="E18" s="3" t="s">
        <v>19</v>
      </c>
      <c r="F18" s="6">
        <v>11.3</v>
      </c>
      <c r="H18" s="3" t="s">
        <v>128</v>
      </c>
      <c r="I18" s="7">
        <v>221850</v>
      </c>
      <c r="K18" t="s">
        <v>171</v>
      </c>
      <c r="L18">
        <f>AVERAGE(Table1[net_sales])</f>
        <v>171689.36</v>
      </c>
    </row>
    <row r="19" spans="5:12" x14ac:dyDescent="0.3">
      <c r="E19" s="3" t="s">
        <v>29</v>
      </c>
      <c r="F19" s="6">
        <v>13.416666666666666</v>
      </c>
      <c r="H19" s="3" t="s">
        <v>32</v>
      </c>
      <c r="I19" s="7">
        <v>226800</v>
      </c>
      <c r="K19" t="s">
        <v>170</v>
      </c>
      <c r="L19">
        <f>MIN(Table1[net_sales])</f>
        <v>20250</v>
      </c>
    </row>
    <row r="20" spans="5:12" x14ac:dyDescent="0.3">
      <c r="E20" s="3" t="s">
        <v>146</v>
      </c>
      <c r="F20" s="6">
        <v>13.38</v>
      </c>
      <c r="H20" s="3" t="s">
        <v>58</v>
      </c>
      <c r="I20" s="7">
        <v>264330</v>
      </c>
      <c r="K20" t="s">
        <v>172</v>
      </c>
      <c r="L20">
        <f>MAX(Table1[net_sales])</f>
        <v>844200</v>
      </c>
    </row>
    <row r="21" spans="5:12" x14ac:dyDescent="0.3">
      <c r="H21" s="3" t="s">
        <v>92</v>
      </c>
      <c r="I21" s="7">
        <v>282720</v>
      </c>
    </row>
    <row r="22" spans="5:12" x14ac:dyDescent="0.3">
      <c r="H22" s="3" t="s">
        <v>126</v>
      </c>
      <c r="I22" s="7">
        <v>287040</v>
      </c>
    </row>
    <row r="23" spans="5:12" x14ac:dyDescent="0.3">
      <c r="H23" s="3" t="s">
        <v>46</v>
      </c>
      <c r="I23" s="7">
        <v>345600</v>
      </c>
    </row>
    <row r="24" spans="5:12" x14ac:dyDescent="0.3">
      <c r="H24" s="3" t="s">
        <v>15</v>
      </c>
      <c r="I24" s="7">
        <v>1353800</v>
      </c>
    </row>
    <row r="25" spans="5:12" x14ac:dyDescent="0.3">
      <c r="H25" s="3" t="s">
        <v>10</v>
      </c>
      <c r="I25" s="7">
        <v>2758080</v>
      </c>
    </row>
    <row r="26" spans="5:12" x14ac:dyDescent="0.3">
      <c r="H26" s="3" t="s">
        <v>146</v>
      </c>
      <c r="I26" s="7">
        <v>6072320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8864-A8A9-484D-B681-4A37EDECE731}">
  <dimension ref="A1:AA59"/>
  <sheetViews>
    <sheetView tabSelected="1" zoomScale="60" zoomScaleNormal="60" workbookViewId="0">
      <selection sqref="A1:AA59"/>
    </sheetView>
  </sheetViews>
  <sheetFormatPr defaultRowHeight="14.4" x14ac:dyDescent="0.3"/>
  <sheetData>
    <row r="1" spans="1:27" x14ac:dyDescent="0.3">
      <c r="A1" s="8"/>
      <c r="B1" s="8"/>
      <c r="C1" s="8"/>
      <c r="D1" s="8"/>
      <c r="E1" s="8"/>
      <c r="F1" s="8"/>
      <c r="G1" s="8"/>
      <c r="H1" s="8"/>
      <c r="I1" s="8"/>
      <c r="J1" s="8"/>
      <c r="K1" s="8"/>
      <c r="L1" s="8"/>
      <c r="M1" s="8"/>
      <c r="N1" s="8"/>
      <c r="O1" s="8"/>
      <c r="P1" s="8"/>
      <c r="Q1" s="8"/>
      <c r="R1" s="8"/>
      <c r="S1" s="8"/>
      <c r="T1" s="8"/>
      <c r="U1" s="8"/>
      <c r="V1" s="8"/>
      <c r="W1" s="8"/>
      <c r="X1" s="8"/>
      <c r="Y1" s="8"/>
      <c r="Z1" s="8"/>
      <c r="AA1" s="8"/>
    </row>
    <row r="2" spans="1:27" x14ac:dyDescent="0.3">
      <c r="A2" s="8"/>
      <c r="B2" s="8"/>
      <c r="C2" s="8"/>
      <c r="D2" s="8"/>
      <c r="E2" s="8"/>
      <c r="F2" s="8"/>
      <c r="G2" s="8"/>
      <c r="H2" s="8"/>
      <c r="I2" s="8"/>
      <c r="J2" s="8"/>
      <c r="K2" s="8"/>
      <c r="L2" s="8"/>
      <c r="M2" s="8"/>
      <c r="N2" s="8"/>
      <c r="O2" s="8"/>
      <c r="P2" s="8"/>
      <c r="Q2" s="8"/>
      <c r="R2" s="8"/>
      <c r="S2" s="8"/>
      <c r="T2" s="8"/>
      <c r="U2" s="8"/>
      <c r="V2" s="8"/>
      <c r="W2" s="8"/>
      <c r="X2" s="8"/>
      <c r="Y2" s="8"/>
      <c r="Z2" s="8"/>
      <c r="AA2" s="8"/>
    </row>
    <row r="3" spans="1:27" x14ac:dyDescent="0.3">
      <c r="A3" s="8"/>
      <c r="B3" s="8"/>
      <c r="C3" s="8"/>
      <c r="D3" s="8"/>
      <c r="E3" s="8"/>
      <c r="F3" s="8"/>
      <c r="G3" s="8"/>
      <c r="H3" s="8"/>
      <c r="I3" s="8"/>
      <c r="J3" s="8"/>
      <c r="K3" s="8"/>
      <c r="L3" s="8"/>
      <c r="M3" s="8"/>
      <c r="N3" s="8"/>
      <c r="O3" s="8"/>
      <c r="P3" s="8"/>
      <c r="Q3" s="8"/>
      <c r="R3" s="8"/>
      <c r="S3" s="8"/>
      <c r="T3" s="8"/>
      <c r="U3" s="8"/>
      <c r="V3" s="8"/>
      <c r="W3" s="8"/>
      <c r="X3" s="8"/>
      <c r="Y3" s="8"/>
      <c r="Z3" s="8"/>
      <c r="AA3" s="8"/>
    </row>
    <row r="4" spans="1:27" x14ac:dyDescent="0.3">
      <c r="A4" s="8"/>
      <c r="B4" s="8"/>
      <c r="C4" s="8"/>
      <c r="D4" s="8"/>
      <c r="E4" s="8"/>
      <c r="F4" s="8"/>
      <c r="G4" s="8"/>
      <c r="H4" s="8"/>
      <c r="I4" s="8"/>
      <c r="J4" s="8"/>
      <c r="K4" s="8"/>
      <c r="L4" s="8"/>
      <c r="M4" s="8"/>
      <c r="N4" s="8"/>
      <c r="O4" s="8"/>
      <c r="P4" s="8"/>
      <c r="Q4" s="8"/>
      <c r="R4" s="8"/>
      <c r="S4" s="8"/>
      <c r="T4" s="8"/>
      <c r="U4" s="8"/>
      <c r="V4" s="8"/>
      <c r="W4" s="8"/>
      <c r="X4" s="8"/>
      <c r="Y4" s="8"/>
      <c r="Z4" s="8"/>
      <c r="AA4" s="8"/>
    </row>
    <row r="5" spans="1:27" x14ac:dyDescent="0.3">
      <c r="A5" s="8"/>
      <c r="B5" s="8"/>
      <c r="C5" s="8"/>
      <c r="D5" s="8"/>
      <c r="E5" s="8"/>
      <c r="F5" s="8"/>
      <c r="G5" s="8"/>
      <c r="H5" s="8"/>
      <c r="I5" s="8"/>
      <c r="J5" s="8"/>
      <c r="K5" s="8"/>
      <c r="L5" s="8"/>
      <c r="M5" s="8"/>
      <c r="N5" s="8"/>
      <c r="O5" s="8"/>
      <c r="P5" s="8"/>
      <c r="Q5" s="8"/>
      <c r="R5" s="8"/>
      <c r="S5" s="8"/>
      <c r="T5" s="8"/>
      <c r="U5" s="8"/>
      <c r="V5" s="8"/>
      <c r="W5" s="8"/>
      <c r="X5" s="8"/>
      <c r="Y5" s="8"/>
      <c r="Z5" s="8"/>
      <c r="AA5" s="8"/>
    </row>
    <row r="6" spans="1:27" x14ac:dyDescent="0.3">
      <c r="A6" s="8"/>
      <c r="B6" s="8"/>
      <c r="C6" s="8"/>
      <c r="D6" s="8"/>
      <c r="E6" s="8"/>
      <c r="F6" s="8"/>
      <c r="G6" s="8"/>
      <c r="H6" s="8"/>
      <c r="I6" s="8"/>
      <c r="J6" s="8"/>
      <c r="K6" s="8"/>
      <c r="L6" s="8"/>
      <c r="M6" s="8"/>
      <c r="N6" s="8"/>
      <c r="O6" s="8"/>
      <c r="P6" s="8"/>
      <c r="Q6" s="8"/>
      <c r="R6" s="8"/>
      <c r="S6" s="8"/>
      <c r="T6" s="8"/>
      <c r="U6" s="8"/>
      <c r="V6" s="8"/>
      <c r="W6" s="8"/>
      <c r="X6" s="8"/>
      <c r="Y6" s="8"/>
      <c r="Z6" s="8"/>
      <c r="AA6" s="8"/>
    </row>
    <row r="7" spans="1:27" x14ac:dyDescent="0.3">
      <c r="A7" s="8"/>
      <c r="B7" s="8"/>
      <c r="C7" s="8"/>
      <c r="D7" s="8"/>
      <c r="E7" s="8"/>
      <c r="F7" s="8"/>
      <c r="G7" s="8"/>
      <c r="H7" s="8"/>
      <c r="I7" s="8"/>
      <c r="J7" s="8"/>
      <c r="K7" s="8"/>
      <c r="L7" s="8"/>
      <c r="M7" s="8"/>
      <c r="N7" s="8"/>
      <c r="O7" s="8"/>
      <c r="P7" s="8"/>
      <c r="Q7" s="8"/>
      <c r="R7" s="8"/>
      <c r="S7" s="8"/>
      <c r="T7" s="8"/>
      <c r="U7" s="8"/>
      <c r="V7" s="8"/>
      <c r="W7" s="8"/>
      <c r="X7" s="8"/>
      <c r="Y7" s="8"/>
      <c r="Z7" s="8"/>
      <c r="AA7" s="8"/>
    </row>
    <row r="8" spans="1:27" x14ac:dyDescent="0.3">
      <c r="A8" s="8"/>
      <c r="B8" s="8"/>
      <c r="C8" s="8"/>
      <c r="D8" s="8"/>
      <c r="E8" s="8"/>
      <c r="F8" s="8"/>
      <c r="G8" s="8"/>
      <c r="H8" s="8"/>
      <c r="I8" s="8"/>
      <c r="J8" s="8"/>
      <c r="K8" s="8"/>
      <c r="L8" s="8"/>
      <c r="M8" s="8"/>
      <c r="N8" s="8"/>
      <c r="O8" s="8"/>
      <c r="P8" s="8"/>
      <c r="Q8" s="8"/>
      <c r="R8" s="8"/>
      <c r="S8" s="8"/>
      <c r="T8" s="8"/>
      <c r="U8" s="8"/>
      <c r="V8" s="8"/>
      <c r="W8" s="8"/>
      <c r="X8" s="8"/>
      <c r="Y8" s="8"/>
      <c r="Z8" s="8"/>
      <c r="AA8" s="8"/>
    </row>
    <row r="9" spans="1:27" x14ac:dyDescent="0.3">
      <c r="A9" s="8"/>
      <c r="B9" s="8"/>
      <c r="C9" s="8"/>
      <c r="D9" s="8"/>
      <c r="E9" s="8"/>
      <c r="F9" s="8"/>
      <c r="G9" s="8"/>
      <c r="H9" s="8"/>
      <c r="I9" s="8"/>
      <c r="J9" s="8"/>
      <c r="K9" s="8"/>
      <c r="L9" s="8"/>
      <c r="M9" s="8"/>
      <c r="N9" s="8"/>
      <c r="O9" s="8"/>
      <c r="P9" s="8"/>
      <c r="Q9" s="8"/>
      <c r="R9" s="8"/>
      <c r="S9" s="8"/>
      <c r="T9" s="8"/>
      <c r="U9" s="8"/>
      <c r="V9" s="8"/>
      <c r="W9" s="8"/>
      <c r="X9" s="8"/>
      <c r="Y9" s="8"/>
      <c r="Z9" s="8"/>
      <c r="AA9" s="8"/>
    </row>
    <row r="10" spans="1:27"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spans="1:27"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spans="1:27"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spans="1:27"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spans="1:27"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spans="1:27"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spans="1:27"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spans="1:27"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spans="1:27"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spans="1:27"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spans="1:27"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spans="1:27"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spans="1:27"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spans="1:27"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spans="1:27"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spans="1:27"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spans="1:27"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spans="1:27"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spans="1:27"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7"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7"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spans="1:27"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spans="1:27"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spans="1:27"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27"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27"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27"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spans="1:27"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spans="1:27"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27"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7"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7"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7"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7"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spans="1:27"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spans="1:27"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spans="1:27"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7"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spans="1:27"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spans="1:27"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spans="1:27"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7"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27"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7"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27"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27"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27"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27"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7"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row>
  </sheetData>
  <mergeCells count="1">
    <mergeCell ref="A1:AA5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vt:lpstr>
      <vt:lpstr>Detail1</vt:lpstr>
      <vt:lpstr>Sheet2</vt:lpstr>
      <vt:lpstr>1 july</vt:lpstr>
      <vt:lpstr>Sheet3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Onkar Thorat</cp:lastModifiedBy>
  <dcterms:created xsi:type="dcterms:W3CDTF">2026-06-30T10:44:14Z</dcterms:created>
  <dcterms:modified xsi:type="dcterms:W3CDTF">2026-07-01T19:45:07Z</dcterms:modified>
</cp:coreProperties>
</file>